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AD48BA-6D64-41A4-9C3D-87EEB904CA6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NEL" sheetId="6" r:id="rId1"/>
    <sheet name="IBERDROLA" sheetId="7" r:id="rId2"/>
    <sheet name="Balance sheet" sheetId="2" r:id="rId3"/>
    <sheet name="Income statment" sheetId="3" r:id="rId4"/>
    <sheet name="CF" sheetId="1" r:id="rId5"/>
    <sheet name="Ratio" sheetId="4" r:id="rId6"/>
    <sheet name="DuPont analysis 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" l="1"/>
  <c r="K25" i="3"/>
  <c r="K23" i="3"/>
  <c r="J23" i="3"/>
  <c r="C7" i="3"/>
  <c r="C8" i="3"/>
  <c r="D14" i="3"/>
  <c r="C14" i="3"/>
  <c r="D8" i="3"/>
  <c r="C9" i="3"/>
  <c r="C11" i="3" s="1"/>
  <c r="D12" i="3"/>
  <c r="C12" i="3"/>
  <c r="C10" i="3"/>
  <c r="J8" i="3"/>
  <c r="D10" i="3"/>
  <c r="D7" i="3"/>
  <c r="D9" i="3" s="1"/>
  <c r="D11" i="3" s="1"/>
  <c r="K14" i="3"/>
  <c r="J14" i="3"/>
  <c r="K12" i="3"/>
  <c r="J12" i="3"/>
  <c r="K10" i="3"/>
  <c r="K11" i="3"/>
  <c r="K24" i="3" s="1"/>
  <c r="J10" i="3"/>
  <c r="K8" i="3"/>
  <c r="J9" i="3"/>
  <c r="J11" i="3" s="1"/>
  <c r="J24" i="3" s="1"/>
  <c r="K22" i="3"/>
  <c r="J22" i="3"/>
  <c r="D22" i="3"/>
  <c r="C22" i="3"/>
  <c r="N27" i="2"/>
  <c r="N26" i="2"/>
  <c r="O33" i="2"/>
  <c r="M33" i="2"/>
  <c r="D33" i="2"/>
  <c r="C33" i="2"/>
  <c r="N5" i="2"/>
  <c r="P27" i="2"/>
  <c r="P10" i="2"/>
  <c r="P33" i="2"/>
  <c r="N33" i="2"/>
  <c r="N32" i="2" s="1"/>
  <c r="P28" i="2"/>
  <c r="P26" i="2" s="1"/>
  <c r="P13" i="2"/>
  <c r="P11" i="2" s="1"/>
  <c r="P7" i="2"/>
  <c r="N13" i="2"/>
  <c r="N9" i="2" s="1"/>
  <c r="N6" i="2"/>
  <c r="C23" i="3" l="1"/>
  <c r="D23" i="3"/>
  <c r="D24" i="3"/>
  <c r="D13" i="3"/>
  <c r="D15" i="3" s="1"/>
  <c r="D25" i="3" s="1"/>
  <c r="K13" i="3"/>
  <c r="K15" i="3" s="1"/>
  <c r="J13" i="3"/>
  <c r="J15" i="3" s="1"/>
  <c r="P32" i="2"/>
  <c r="N30" i="2"/>
  <c r="N31" i="2"/>
  <c r="P30" i="2"/>
  <c r="P31" i="2"/>
  <c r="N10" i="2"/>
  <c r="P5" i="2"/>
  <c r="P9" i="2"/>
  <c r="P12" i="2"/>
  <c r="P6" i="2"/>
  <c r="N12" i="2"/>
  <c r="N11" i="2"/>
  <c r="C13" i="3" l="1"/>
  <c r="C15" i="3" s="1"/>
  <c r="C25" i="3" s="1"/>
  <c r="C24" i="3"/>
</calcChain>
</file>

<file path=xl/sharedStrings.xml><?xml version="1.0" encoding="utf-8"?>
<sst xmlns="http://schemas.openxmlformats.org/spreadsheetml/2006/main" count="434" uniqueCount="249">
  <si>
    <t>ENEL</t>
  </si>
  <si>
    <t>BALANCE SHEET</t>
  </si>
  <si>
    <t>INCOME STATEMENT</t>
  </si>
  <si>
    <t>CASH FLOW</t>
  </si>
  <si>
    <t>Millions of Euro</t>
  </si>
  <si>
    <t>%</t>
  </si>
  <si>
    <t>Δ%</t>
  </si>
  <si>
    <t>ASSETS</t>
  </si>
  <si>
    <t>Revenue</t>
  </si>
  <si>
    <t>100.0%</t>
  </si>
  <si>
    <t>-17.4%</t>
  </si>
  <si>
    <t>Profit for the year</t>
  </si>
  <si>
    <t>+92.9%</t>
  </si>
  <si>
    <t>Property, plant and equipment</t>
  </si>
  <si>
    <t>50.5%</t>
  </si>
  <si>
    <t>46.0%</t>
  </si>
  <si>
    <t>+5.3%</t>
  </si>
  <si>
    <t>Costs</t>
  </si>
  <si>
    <t>-70.1%</t>
  </si>
  <si>
    <t>-75.7%</t>
  </si>
  <si>
    <t>-23.5%</t>
  </si>
  <si>
    <t>-33.1%</t>
  </si>
  <si>
    <t>Intangible assets</t>
  </si>
  <si>
    <t>8.5%</t>
  </si>
  <si>
    <t>8.7%</t>
  </si>
  <si>
    <t>-7.1%</t>
  </si>
  <si>
    <t>Net results from commodity contracts</t>
  </si>
  <si>
    <t>0.6%</t>
  </si>
  <si>
    <t>-3.1%</t>
  </si>
  <si>
    <t>Change in net working capital</t>
  </si>
  <si>
    <t>+83.4%</t>
  </si>
  <si>
    <t>Goodwill</t>
  </si>
  <si>
    <t>6.9%</t>
  </si>
  <si>
    <t>6.7%</t>
  </si>
  <si>
    <t>-1.5%</t>
  </si>
  <si>
    <t>Gross Operating Profit (EBITDA)</t>
  </si>
  <si>
    <t>30.5%</t>
  </si>
  <si>
    <t>21.2%</t>
  </si>
  <si>
    <t>+18.8%</t>
  </si>
  <si>
    <t>Cash flow from operating activities</t>
  </si>
  <si>
    <t>-9.6%</t>
  </si>
  <si>
    <t>Other non-current assets</t>
  </si>
  <si>
    <t>12.1%</t>
  </si>
  <si>
    <t>12.7%</t>
  </si>
  <si>
    <t>-8.9%</t>
  </si>
  <si>
    <t>-10.9%</t>
  </si>
  <si>
    <t>-9.9%</t>
  </si>
  <si>
    <t>-9.0%</t>
  </si>
  <si>
    <t>-21.5%</t>
  </si>
  <si>
    <t>Total Non-Current Assets</t>
  </si>
  <si>
    <t>77.9%</t>
  </si>
  <si>
    <t>74.1%</t>
  </si>
  <si>
    <t>+0.8%</t>
  </si>
  <si>
    <t>Operating Profit (EBIT)</t>
  </si>
  <si>
    <t>19.6%</t>
  </si>
  <si>
    <t>11.3%</t>
  </si>
  <si>
    <t>+43.0%</t>
  </si>
  <si>
    <t>Investments in intangible assets</t>
  </si>
  <si>
    <t>-10.8%</t>
  </si>
  <si>
    <t>Trade receivables</t>
  </si>
  <si>
    <t>9.1%</t>
  </si>
  <si>
    <t>-10.3%</t>
  </si>
  <si>
    <t>Net financial income/(expense)</t>
  </si>
  <si>
    <t>-4.3%</t>
  </si>
  <si>
    <t>-3.5%</t>
  </si>
  <si>
    <t>Disposals of entities/business units</t>
  </si>
  <si>
    <t>+169.9%</t>
  </si>
  <si>
    <t>Cash and cash equivalents</t>
  </si>
  <si>
    <t>4.3%</t>
  </si>
  <si>
    <t>3.5%</t>
  </si>
  <si>
    <t>+18.4%</t>
  </si>
  <si>
    <t>Share of profit/(loss) of equity investments</t>
  </si>
  <si>
    <t>-0.3%</t>
  </si>
  <si>
    <t>0.0%</t>
  </si>
  <si>
    <t>+412.2%</t>
  </si>
  <si>
    <t>Cash flow used in investing activities</t>
  </si>
  <si>
    <t>-61.3%</t>
  </si>
  <si>
    <t>Other current assets</t>
  </si>
  <si>
    <t>9.0%</t>
  </si>
  <si>
    <t>10.3%</t>
  </si>
  <si>
    <t>-15.8%</t>
  </si>
  <si>
    <t>Pre-tax Profit</t>
  </si>
  <si>
    <t>15.1%</t>
  </si>
  <si>
    <t>7.8%</t>
  </si>
  <si>
    <t>+60.2%</t>
  </si>
  <si>
    <t>Dividends paid</t>
  </si>
  <si>
    <t>-0.2%</t>
  </si>
  <si>
    <t>Total Current Assets</t>
  </si>
  <si>
    <t>21.8%</t>
  </si>
  <si>
    <t>22.9%</t>
  </si>
  <si>
    <t>-8.4%</t>
  </si>
  <si>
    <t>Income taxes</t>
  </si>
  <si>
    <t>-4.6%</t>
  </si>
  <si>
    <t>-2.9%</t>
  </si>
  <si>
    <t>+31.5%</t>
  </si>
  <si>
    <t>Change in financial debt</t>
  </si>
  <si>
    <t>-11.3%</t>
  </si>
  <si>
    <t>Assets held for sale</t>
  </si>
  <si>
    <t>0.2%</t>
  </si>
  <si>
    <t>3.0%</t>
  </si>
  <si>
    <t>-93.0%</t>
  </si>
  <si>
    <t>10.4%</t>
  </si>
  <si>
    <t>4.5%</t>
  </si>
  <si>
    <t>Cash flow used in financing activities</t>
  </si>
  <si>
    <t>-4.4%</t>
  </si>
  <si>
    <t>TOTAL ASSETS</t>
  </si>
  <si>
    <t>-4.1%</t>
  </si>
  <si>
    <t>Impact of exchange rate fluctuations</t>
  </si>
  <si>
    <t>+51.0%</t>
  </si>
  <si>
    <t>Net Increase/(Decrease) in cash</t>
  </si>
  <si>
    <t>LIABILITIES &amp; EQUITY</t>
  </si>
  <si>
    <t>Total Equity</t>
  </si>
  <si>
    <t>26.3%</t>
  </si>
  <si>
    <t>23.1%</t>
  </si>
  <si>
    <t>+9.0%</t>
  </si>
  <si>
    <t>Long-term borrowings</t>
  </si>
  <si>
    <t>32.1%</t>
  </si>
  <si>
    <t>31.3%</t>
  </si>
  <si>
    <t>-1.8%</t>
  </si>
  <si>
    <t>Provisions and other non-current liabilities</t>
  </si>
  <si>
    <t>15.0%</t>
  </si>
  <si>
    <t>15.3%</t>
  </si>
  <si>
    <t>-5.9%</t>
  </si>
  <si>
    <t>Total Non-Current Liabilities</t>
  </si>
  <si>
    <t>47.1%</t>
  </si>
  <si>
    <t>46.6%</t>
  </si>
  <si>
    <t>Short-term borrowings</t>
  </si>
  <si>
    <t>1.9%</t>
  </si>
  <si>
    <t>2.4%</t>
  </si>
  <si>
    <t>-23.6%</t>
  </si>
  <si>
    <t>Current portion of long-term borrowings</t>
  </si>
  <si>
    <t>4.0%</t>
  </si>
  <si>
    <t>4.7%</t>
  </si>
  <si>
    <t>-18.1%</t>
  </si>
  <si>
    <t>Trade payables</t>
  </si>
  <si>
    <t>7.3%</t>
  </si>
  <si>
    <t>8.1%</t>
  </si>
  <si>
    <t>-13.5%</t>
  </si>
  <si>
    <t>Other current liabilities</t>
  </si>
  <si>
    <t>13.3%</t>
  </si>
  <si>
    <t>13.9%</t>
  </si>
  <si>
    <t>-8.2%</t>
  </si>
  <si>
    <t>Total Current Liabilities</t>
  </si>
  <si>
    <t>26.5%</t>
  </si>
  <si>
    <t>29.1%</t>
  </si>
  <si>
    <t>-12.6%</t>
  </si>
  <si>
    <t>Liabilities held for sale</t>
  </si>
  <si>
    <t>0.1%</t>
  </si>
  <si>
    <t>1.2%</t>
  </si>
  <si>
    <t>-93.5%</t>
  </si>
  <si>
    <t>TOTAL LIABILITIES &amp; EQUITY</t>
  </si>
  <si>
    <t>IBERDROLA</t>
  </si>
  <si>
    <t>Non-current assets</t>
  </si>
  <si>
    <t>Current assets</t>
  </si>
  <si>
    <t>TOTAL EQUITY</t>
  </si>
  <si>
    <t>Non-current liabilities</t>
  </si>
  <si>
    <t>Current liabilities</t>
  </si>
  <si>
    <t xml:space="preserve">TOTAL LIABILITIES </t>
  </si>
  <si>
    <t>COGS</t>
  </si>
  <si>
    <t>EBITDA</t>
  </si>
  <si>
    <t>EBIT</t>
  </si>
  <si>
    <t>Profit Before Tax</t>
  </si>
  <si>
    <t>Net Profit</t>
  </si>
  <si>
    <t>Millions of euro</t>
  </si>
  <si>
    <t>Cash Flows from Operating Activities</t>
  </si>
  <si>
    <t>Cash Flows from Investing Activities</t>
  </si>
  <si>
    <t>Cash Flows from Financing Activities</t>
  </si>
  <si>
    <t>Net Increase/Decrease in Cash</t>
  </si>
  <si>
    <t>Indicator Profitability</t>
  </si>
  <si>
    <t>ENEL 2024</t>
  </si>
  <si>
    <t>ENEL 2023</t>
  </si>
  <si>
    <t>IBERDROLA 2024</t>
  </si>
  <si>
    <t>IBERDROLA 2023</t>
  </si>
  <si>
    <t>ROE</t>
  </si>
  <si>
    <t>ROI</t>
  </si>
  <si>
    <t> </t>
  </si>
  <si>
    <t>D/E</t>
  </si>
  <si>
    <t>Turnover</t>
  </si>
  <si>
    <t>Indicator Liquidity</t>
  </si>
  <si>
    <t>Current Ratio</t>
  </si>
  <si>
    <t>Quick Ratio</t>
  </si>
  <si>
    <t>Indicator Solvency</t>
  </si>
  <si>
    <t>Debt Ratio</t>
  </si>
  <si>
    <t>Equity Ratio</t>
  </si>
  <si>
    <t>Altman Z score</t>
  </si>
  <si>
    <t>Interest Coverage</t>
  </si>
  <si>
    <t>Dupont Analysis Enel</t>
  </si>
  <si>
    <t>Profit Margin</t>
  </si>
  <si>
    <t>Operating leverage</t>
  </si>
  <si>
    <t>Financial leverage</t>
  </si>
  <si>
    <t>Efficiency</t>
  </si>
  <si>
    <t>Effectiveness</t>
  </si>
  <si>
    <t>Leverage</t>
  </si>
  <si>
    <t>ROE=</t>
  </si>
  <si>
    <t>Net income/Tot sales</t>
  </si>
  <si>
    <t>Tot sales/ Av. Tot assets</t>
  </si>
  <si>
    <t>Av. tot assets/ Av. shareholders equity</t>
  </si>
  <si>
    <t>ROE for 2024 = 17,23%</t>
  </si>
  <si>
    <t>ROE for 2023= 20,989</t>
  </si>
  <si>
    <t>Dupont Analysis Iberdrola</t>
  </si>
  <si>
    <t>Other non-current financial assets</t>
  </si>
  <si>
    <t>Property. plant and equipment</t>
  </si>
  <si>
    <t>Adjustments (Depreciation. etc.)</t>
  </si>
  <si>
    <t>12.85</t>
  </si>
  <si>
    <t>14.62</t>
  </si>
  <si>
    <t>Depreciation. amortization &amp; impairment</t>
  </si>
  <si>
    <t>Investments in property. plant and equipment</t>
  </si>
  <si>
    <t>-10.61</t>
  </si>
  <si>
    <t>16.88</t>
  </si>
  <si>
    <t>Current trade and other receivables</t>
  </si>
  <si>
    <t>Inventories</t>
  </si>
  <si>
    <t xml:space="preserve">Non-current financial liabilities (Long-term) </t>
  </si>
  <si>
    <t>Deferred tax liabilities</t>
  </si>
  <si>
    <t>Current financial liabilities (Short-term)</t>
  </si>
  <si>
    <t xml:space="preserve">Trade payables </t>
  </si>
  <si>
    <t xml:space="preserve">Supplies </t>
  </si>
  <si>
    <t xml:space="preserve">Personnel expenses </t>
  </si>
  <si>
    <t xml:space="preserve">Net operating expenses </t>
  </si>
  <si>
    <t xml:space="preserve">Taxes </t>
  </si>
  <si>
    <t xml:space="preserve">Depreciation, amortisation &amp; provisions </t>
  </si>
  <si>
    <t xml:space="preserve">Net financial income/(expense) </t>
  </si>
  <si>
    <t xml:space="preserve">Result of equity-accounted investees </t>
  </si>
  <si>
    <t xml:space="preserve">Income taxes </t>
  </si>
  <si>
    <t xml:space="preserve">Net profit/(loss) for the year </t>
  </si>
  <si>
    <t xml:space="preserve">Adjustments (Depreciation, etc.) </t>
  </si>
  <si>
    <t>Changes in working capital</t>
  </si>
  <si>
    <t xml:space="preserve">Investments in intangible assets </t>
  </si>
  <si>
    <t xml:space="preserve">Investments in property, plant and equipment </t>
  </si>
  <si>
    <t xml:space="preserve">Proceeds from disposal of subsidiaries </t>
  </si>
  <si>
    <t xml:space="preserve">Dividends paid (total incl. minorities) </t>
  </si>
  <si>
    <t xml:space="preserve">Bank borrowings (Redemption) </t>
  </si>
  <si>
    <t xml:space="preserve">Bank borrowings (Issues and disposals) </t>
  </si>
  <si>
    <t xml:space="preserve">Impact of exchange rate fluctuations </t>
  </si>
  <si>
    <r>
      <t>Revenue</t>
    </r>
    <r>
      <rPr>
        <sz val="11"/>
        <color rgb="FF1F1F1F"/>
        <rFont val="Arial"/>
        <family val="2"/>
        <scheme val="minor"/>
      </rPr>
      <t xml:space="preserve"> </t>
    </r>
  </si>
  <si>
    <r>
      <t>Profit before tax</t>
    </r>
    <r>
      <rPr>
        <sz val="11"/>
        <color rgb="FF1F1F1F"/>
        <rFont val="Arial"/>
        <family val="2"/>
        <scheme val="minor"/>
      </rPr>
      <t xml:space="preserve"> </t>
    </r>
  </si>
  <si>
    <r>
      <t>Change in trade and other receivables</t>
    </r>
    <r>
      <rPr>
        <sz val="11"/>
        <color rgb="FF1F1F1F"/>
        <rFont val="Arial"/>
        <family val="2"/>
        <scheme val="minor"/>
      </rPr>
      <t xml:space="preserve"> </t>
    </r>
  </si>
  <si>
    <r>
      <t>Change in trade payables and other liabilities</t>
    </r>
    <r>
      <rPr>
        <sz val="11"/>
        <color rgb="FF1F1F1F"/>
        <rFont val="Arial"/>
        <family val="2"/>
        <scheme val="minor"/>
      </rPr>
      <t xml:space="preserve"> </t>
    </r>
  </si>
  <si>
    <r>
      <t>Gross Operating Profit (EBITDA)</t>
    </r>
    <r>
      <rPr>
        <sz val="11"/>
        <color rgb="FF1F1F1F"/>
        <rFont val="Arial"/>
        <family val="2"/>
        <scheme val="minor"/>
      </rPr>
      <t xml:space="preserve"> </t>
    </r>
  </si>
  <si>
    <r>
      <t>Net Cash flow from operating activities</t>
    </r>
    <r>
      <rPr>
        <sz val="11"/>
        <color rgb="FF1F1F1F"/>
        <rFont val="Arial"/>
        <family val="2"/>
        <scheme val="minor"/>
      </rPr>
      <t xml:space="preserve"> </t>
    </r>
  </si>
  <si>
    <r>
      <t>Operating Profit (EBIT)</t>
    </r>
    <r>
      <rPr>
        <sz val="11"/>
        <color rgb="FF1F1F1F"/>
        <rFont val="Arial"/>
        <family val="2"/>
        <scheme val="minor"/>
      </rPr>
      <t xml:space="preserve"> </t>
    </r>
  </si>
  <si>
    <r>
      <t>Net Cash flow used in investing activities</t>
    </r>
    <r>
      <rPr>
        <sz val="11"/>
        <color rgb="FF1F1F1F"/>
        <rFont val="Arial"/>
        <family val="2"/>
        <scheme val="minor"/>
      </rPr>
      <t xml:space="preserve"> </t>
    </r>
  </si>
  <si>
    <r>
      <t>TOTAL ASSETS</t>
    </r>
    <r>
      <rPr>
        <sz val="11"/>
        <color rgb="FF1F1F1F"/>
        <rFont val="Arial"/>
        <family val="2"/>
        <scheme val="minor"/>
      </rPr>
      <t xml:space="preserve"> </t>
    </r>
  </si>
  <si>
    <r>
      <t>Pre-tax Profit</t>
    </r>
    <r>
      <rPr>
        <sz val="11"/>
        <color rgb="FF1F1F1F"/>
        <rFont val="Arial"/>
        <family val="2"/>
        <scheme val="minor"/>
      </rPr>
      <t xml:space="preserve"> </t>
    </r>
  </si>
  <si>
    <r>
      <t>Net Cash flow used in financing activities</t>
    </r>
    <r>
      <rPr>
        <sz val="11"/>
        <color rgb="FF1F1F1F"/>
        <rFont val="Arial"/>
        <family val="2"/>
        <scheme val="minor"/>
      </rPr>
      <t xml:space="preserve"> </t>
    </r>
  </si>
  <si>
    <r>
      <t>Net Increase/(Decrease) in cash</t>
    </r>
    <r>
      <rPr>
        <sz val="11"/>
        <color rgb="FF1F1F1F"/>
        <rFont val="Arial"/>
        <family val="2"/>
        <scheme val="minor"/>
      </rPr>
      <t xml:space="preserve"> </t>
    </r>
  </si>
  <si>
    <r>
      <t>Total Non-Current Liabilities</t>
    </r>
    <r>
      <rPr>
        <sz val="11"/>
        <color rgb="FF1F1F1F"/>
        <rFont val="Arial"/>
        <family val="2"/>
        <scheme val="minor"/>
      </rPr>
      <t xml:space="preserve"> </t>
    </r>
  </si>
  <si>
    <r>
      <t>Total Current Liabilities</t>
    </r>
    <r>
      <rPr>
        <sz val="11"/>
        <color rgb="FF1F1F1F"/>
        <rFont val="Arial"/>
        <family val="2"/>
        <scheme val="minor"/>
      </rPr>
      <t xml:space="preserve"> </t>
    </r>
  </si>
  <si>
    <r>
      <t>TOTAL LIABILITIES &amp; EQUITY</t>
    </r>
    <r>
      <rPr>
        <sz val="11"/>
        <color rgb="FF1F1F1F"/>
        <rFont val="Arial"/>
        <family val="2"/>
        <scheme val="minor"/>
      </rPr>
      <t xml:space="preserve"> </t>
    </r>
  </si>
  <si>
    <t>Net Finance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</si>
</sst>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8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scheme val="minor"/>
    </font>
    <font>
      <b/>
      <sz val="22"/>
      <color theme="1"/>
      <name val="Arial"/>
      <scheme val="minor"/>
    </font>
    <font>
      <b/>
      <sz val="11"/>
      <color rgb="FF1F1F1F"/>
      <name val="Arial"/>
      <scheme val="minor"/>
    </font>
    <font>
      <sz val="11"/>
      <color rgb="FF1C1C1D"/>
      <name val="Arial"/>
      <scheme val="minor"/>
    </font>
    <font>
      <sz val="11"/>
      <color rgb="FF1F1F1F"/>
      <name val="Arial"/>
      <scheme val="minor"/>
    </font>
    <font>
      <b/>
      <sz val="14"/>
      <color theme="1"/>
      <name val="Arial"/>
      <scheme val="minor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color rgb="FF1C1C1D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i/>
      <sz val="11"/>
      <color rgb="FF1F1F1F"/>
      <name val="Arial"/>
      <family val="2"/>
      <scheme val="minor"/>
    </font>
    <font>
      <strike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97D"/>
        <bgColor rgb="FFA6A6A6"/>
      </patternFill>
    </fill>
    <fill>
      <patternFill patternType="solid">
        <fgColor rgb="FFFABF8F"/>
        <bgColor rgb="FFF28E2B"/>
      </patternFill>
    </fill>
    <fill>
      <patternFill patternType="solid">
        <fgColor rgb="FF66DC71"/>
        <bgColor rgb="FF4E79A7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164" fontId="3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/>
    <xf numFmtId="0" fontId="6" fillId="0" borderId="2" xfId="0" applyFont="1" applyBorder="1"/>
    <xf numFmtId="0" fontId="6" fillId="0" borderId="4" xfId="0" applyFont="1" applyBorder="1"/>
    <xf numFmtId="0" fontId="6" fillId="5" borderId="1" xfId="0" applyFont="1" applyFill="1" applyBorder="1"/>
    <xf numFmtId="0" fontId="5" fillId="0" borderId="2" xfId="0" applyFont="1" applyBorder="1"/>
    <xf numFmtId="0" fontId="6" fillId="0" borderId="5" xfId="0" applyFont="1" applyBorder="1"/>
    <xf numFmtId="0" fontId="6" fillId="0" borderId="10" xfId="0" applyFont="1" applyBorder="1"/>
    <xf numFmtId="0" fontId="9" fillId="0" borderId="5" xfId="0" applyFont="1" applyBorder="1"/>
    <xf numFmtId="0" fontId="5" fillId="6" borderId="1" xfId="0" applyFont="1" applyFill="1" applyBorder="1"/>
    <xf numFmtId="10" fontId="0" fillId="0" borderId="0" xfId="1" applyNumberFormat="1" applyFont="1"/>
    <xf numFmtId="10" fontId="6" fillId="0" borderId="10" xfId="1" applyNumberFormat="1" applyFont="1" applyBorder="1" applyAlignment="1">
      <alignment horizontal="right"/>
    </xf>
    <xf numFmtId="10" fontId="6" fillId="0" borderId="10" xfId="1" applyNumberFormat="1" applyFont="1" applyBorder="1"/>
    <xf numFmtId="10" fontId="5" fillId="0" borderId="9" xfId="1" applyNumberFormat="1" applyFont="1" applyBorder="1" applyAlignment="1">
      <alignment horizontal="right"/>
    </xf>
    <xf numFmtId="10" fontId="6" fillId="0" borderId="11" xfId="1" applyNumberFormat="1" applyFont="1" applyBorder="1" applyAlignment="1">
      <alignment horizontal="right"/>
    </xf>
    <xf numFmtId="10" fontId="9" fillId="0" borderId="8" xfId="1" applyNumberFormat="1" applyFont="1" applyBorder="1" applyAlignment="1">
      <alignment horizontal="right"/>
    </xf>
    <xf numFmtId="10" fontId="5" fillId="6" borderId="8" xfId="1" applyNumberFormat="1" applyFont="1" applyFill="1" applyBorder="1" applyAlignment="1">
      <alignment horizontal="right"/>
    </xf>
    <xf numFmtId="10" fontId="9" fillId="0" borderId="9" xfId="1" applyNumberFormat="1" applyFont="1" applyBorder="1" applyAlignment="1">
      <alignment horizontal="right"/>
    </xf>
    <xf numFmtId="0" fontId="6" fillId="0" borderId="7" xfId="0" applyFont="1" applyBorder="1"/>
    <xf numFmtId="0" fontId="5" fillId="0" borderId="12" xfId="0" applyFont="1" applyBorder="1" applyAlignment="1">
      <alignment horizontal="center"/>
    </xf>
    <xf numFmtId="10" fontId="0" fillId="0" borderId="14" xfId="1" applyNumberFormat="1" applyFont="1" applyBorder="1"/>
    <xf numFmtId="10" fontId="6" fillId="0" borderId="15" xfId="1" applyNumberFormat="1" applyFont="1" applyBorder="1"/>
    <xf numFmtId="0" fontId="6" fillId="0" borderId="12" xfId="0" applyFont="1" applyBorder="1"/>
    <xf numFmtId="10" fontId="6" fillId="0" borderId="8" xfId="1" applyNumberFormat="1" applyFont="1" applyBorder="1"/>
    <xf numFmtId="10" fontId="6" fillId="0" borderId="16" xfId="1" applyNumberFormat="1" applyFont="1" applyBorder="1" applyAlignment="1">
      <alignment horizontal="right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3" fontId="6" fillId="0" borderId="3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5" fillId="0" borderId="9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9" fillId="0" borderId="6" xfId="0" applyNumberFormat="1" applyFont="1" applyBorder="1" applyAlignment="1">
      <alignment horizontal="right"/>
    </xf>
    <xf numFmtId="3" fontId="5" fillId="6" borderId="7" xfId="0" applyNumberFormat="1" applyFont="1" applyFill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3" fontId="5" fillId="6" borderId="21" xfId="0" applyNumberFormat="1" applyFont="1" applyFill="1" applyBorder="1"/>
    <xf numFmtId="3" fontId="6" fillId="0" borderId="11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165" fontId="0" fillId="0" borderId="0" xfId="1" applyNumberFormat="1" applyFont="1"/>
    <xf numFmtId="0" fontId="5" fillId="0" borderId="24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6" fillId="4" borderId="5" xfId="0" applyFont="1" applyFill="1" applyBorder="1"/>
    <xf numFmtId="0" fontId="4" fillId="0" borderId="25" xfId="0" applyFont="1" applyBorder="1"/>
    <xf numFmtId="0" fontId="4" fillId="0" borderId="29" xfId="0" applyFont="1" applyBorder="1"/>
    <xf numFmtId="0" fontId="5" fillId="0" borderId="3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3" fontId="6" fillId="0" borderId="22" xfId="0" applyNumberFormat="1" applyFont="1" applyBorder="1" applyAlignment="1">
      <alignment horizontal="right"/>
    </xf>
    <xf numFmtId="3" fontId="6" fillId="0" borderId="23" xfId="0" applyNumberFormat="1" applyFont="1" applyBorder="1" applyAlignment="1">
      <alignment horizontal="right"/>
    </xf>
    <xf numFmtId="3" fontId="5" fillId="0" borderId="22" xfId="0" applyNumberFormat="1" applyFont="1" applyBorder="1" applyAlignment="1">
      <alignment horizontal="right"/>
    </xf>
    <xf numFmtId="3" fontId="6" fillId="0" borderId="24" xfId="0" applyNumberFormat="1" applyFont="1" applyBorder="1" applyAlignment="1">
      <alignment horizontal="right"/>
    </xf>
    <xf numFmtId="3" fontId="9" fillId="0" borderId="21" xfId="0" applyNumberFormat="1" applyFont="1" applyBorder="1" applyAlignment="1">
      <alignment horizontal="right"/>
    </xf>
    <xf numFmtId="3" fontId="5" fillId="6" borderId="8" xfId="0" applyNumberFormat="1" applyFont="1" applyFill="1" applyBorder="1"/>
    <xf numFmtId="3" fontId="9" fillId="6" borderId="24" xfId="0" applyNumberFormat="1" applyFont="1" applyFill="1" applyBorder="1" applyAlignment="1">
      <alignment horizontal="right"/>
    </xf>
    <xf numFmtId="3" fontId="9" fillId="6" borderId="11" xfId="0" applyNumberFormat="1" applyFont="1" applyFill="1" applyBorder="1" applyAlignment="1">
      <alignment horizontal="right"/>
    </xf>
    <xf numFmtId="0" fontId="6" fillId="5" borderId="5" xfId="0" applyFont="1" applyFill="1" applyBorder="1"/>
    <xf numFmtId="0" fontId="10" fillId="7" borderId="31" xfId="0" applyFont="1" applyFill="1" applyBorder="1"/>
    <xf numFmtId="0" fontId="11" fillId="8" borderId="31" xfId="0" applyFont="1" applyFill="1" applyBorder="1"/>
    <xf numFmtId="10" fontId="11" fillId="8" borderId="31" xfId="0" applyNumberFormat="1" applyFont="1" applyFill="1" applyBorder="1"/>
    <xf numFmtId="0" fontId="11" fillId="9" borderId="31" xfId="0" applyFont="1" applyFill="1" applyBorder="1"/>
    <xf numFmtId="10" fontId="11" fillId="9" borderId="31" xfId="0" applyNumberFormat="1" applyFont="1" applyFill="1" applyBorder="1"/>
    <xf numFmtId="9" fontId="11" fillId="8" borderId="31" xfId="0" applyNumberFormat="1" applyFont="1" applyFill="1" applyBorder="1"/>
    <xf numFmtId="9" fontId="11" fillId="9" borderId="31" xfId="0" applyNumberFormat="1" applyFont="1" applyFill="1" applyBorder="1"/>
    <xf numFmtId="0" fontId="10" fillId="7" borderId="6" xfId="0" applyFont="1" applyFill="1" applyBorder="1" applyAlignment="1">
      <alignment horizontal="center"/>
    </xf>
    <xf numFmtId="3" fontId="6" fillId="0" borderId="0" xfId="0" applyNumberFormat="1" applyFont="1"/>
    <xf numFmtId="10" fontId="6" fillId="0" borderId="11" xfId="1" applyNumberFormat="1" applyFont="1" applyBorder="1"/>
    <xf numFmtId="164" fontId="6" fillId="0" borderId="0" xfId="0" applyNumberFormat="1" applyFont="1" applyAlignment="1">
      <alignment horizontal="right"/>
    </xf>
    <xf numFmtId="0" fontId="8" fillId="0" borderId="17" xfId="0" applyFont="1" applyBorder="1"/>
    <xf numFmtId="3" fontId="8" fillId="0" borderId="20" xfId="0" applyNumberFormat="1" applyFont="1" applyBorder="1" applyAlignment="1">
      <alignment horizontal="right"/>
    </xf>
    <xf numFmtId="3" fontId="8" fillId="0" borderId="10" xfId="0" applyNumberFormat="1" applyFont="1" applyBorder="1" applyAlignment="1">
      <alignment horizontal="right"/>
    </xf>
    <xf numFmtId="0" fontId="8" fillId="0" borderId="32" xfId="0" applyFont="1" applyBorder="1"/>
    <xf numFmtId="10" fontId="8" fillId="0" borderId="10" xfId="1" applyNumberFormat="1" applyFont="1" applyFill="1" applyBorder="1" applyAlignment="1">
      <alignment horizontal="right"/>
    </xf>
    <xf numFmtId="10" fontId="8" fillId="0" borderId="20" xfId="1" applyNumberFormat="1" applyFont="1" applyFill="1" applyBorder="1" applyAlignment="1">
      <alignment horizontal="right"/>
    </xf>
    <xf numFmtId="10" fontId="8" fillId="0" borderId="13" xfId="1" applyNumberFormat="1" applyFont="1" applyFill="1" applyBorder="1" applyAlignment="1">
      <alignment horizontal="right"/>
    </xf>
    <xf numFmtId="10" fontId="8" fillId="0" borderId="14" xfId="1" applyNumberFormat="1" applyFont="1" applyFill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33" xfId="0" applyFont="1" applyBorder="1" applyAlignment="1">
      <alignment horizontal="center" readingOrder="1"/>
    </xf>
    <xf numFmtId="0" fontId="16" fillId="0" borderId="33" xfId="0" applyFont="1" applyBorder="1" applyAlignment="1">
      <alignment readingOrder="1"/>
    </xf>
    <xf numFmtId="0" fontId="18" fillId="0" borderId="33" xfId="0" applyFont="1" applyBorder="1" applyAlignment="1">
      <alignment readingOrder="1"/>
    </xf>
    <xf numFmtId="0" fontId="18" fillId="0" borderId="33" xfId="0" applyFont="1" applyBorder="1" applyAlignment="1">
      <alignment horizontal="center" readingOrder="1"/>
    </xf>
    <xf numFmtId="0" fontId="18" fillId="0" borderId="33" xfId="0" quotePrefix="1" applyFont="1" applyBorder="1" applyAlignment="1">
      <alignment horizontal="center" readingOrder="1"/>
    </xf>
    <xf numFmtId="0" fontId="16" fillId="0" borderId="33" xfId="0" quotePrefix="1" applyFont="1" applyBorder="1" applyAlignment="1">
      <alignment horizontal="center" readingOrder="1"/>
    </xf>
    <xf numFmtId="0" fontId="16" fillId="0" borderId="37" xfId="0" applyFont="1" applyBorder="1" applyAlignment="1">
      <alignment horizontal="center" readingOrder="1"/>
    </xf>
    <xf numFmtId="0" fontId="17" fillId="0" borderId="28" xfId="0" applyFont="1" applyBorder="1" applyAlignment="1">
      <alignment horizontal="center"/>
    </xf>
    <xf numFmtId="0" fontId="18" fillId="0" borderId="38" xfId="0" applyFont="1" applyBorder="1" applyAlignment="1">
      <alignment readingOrder="1"/>
    </xf>
    <xf numFmtId="0" fontId="16" fillId="0" borderId="38" xfId="0" applyFont="1" applyBorder="1" applyAlignment="1">
      <alignment readingOrder="1"/>
    </xf>
    <xf numFmtId="0" fontId="16" fillId="0" borderId="38" xfId="0" applyFont="1" applyBorder="1" applyAlignment="1">
      <alignment horizontal="center" readingOrder="1"/>
    </xf>
    <xf numFmtId="0" fontId="16" fillId="0" borderId="38" xfId="0" quotePrefix="1" applyFont="1" applyBorder="1" applyAlignment="1">
      <alignment horizontal="center" readingOrder="1"/>
    </xf>
    <xf numFmtId="0" fontId="18" fillId="0" borderId="38" xfId="0" quotePrefix="1" applyFont="1" applyBorder="1" applyAlignment="1">
      <alignment horizontal="center" readingOrder="1"/>
    </xf>
    <xf numFmtId="164" fontId="18" fillId="0" borderId="33" xfId="0" applyNumberFormat="1" applyFont="1" applyBorder="1" applyAlignment="1">
      <alignment horizontal="center" readingOrder="1"/>
    </xf>
    <xf numFmtId="3" fontId="16" fillId="0" borderId="38" xfId="0" applyNumberFormat="1" applyFont="1" applyBorder="1" applyAlignment="1">
      <alignment horizontal="center" readingOrder="1"/>
    </xf>
    <xf numFmtId="3" fontId="18" fillId="0" borderId="38" xfId="0" applyNumberFormat="1" applyFont="1" applyBorder="1" applyAlignment="1">
      <alignment horizontal="center" readingOrder="1"/>
    </xf>
    <xf numFmtId="3" fontId="18" fillId="0" borderId="33" xfId="0" applyNumberFormat="1" applyFont="1" applyBorder="1" applyAlignment="1">
      <alignment horizontal="center" readingOrder="1"/>
    </xf>
    <xf numFmtId="3" fontId="16" fillId="0" borderId="33" xfId="0" applyNumberFormat="1" applyFont="1" applyBorder="1" applyAlignment="1">
      <alignment horizontal="center" readingOrder="1"/>
    </xf>
    <xf numFmtId="0" fontId="16" fillId="0" borderId="0" xfId="0" applyFont="1" applyAlignment="1">
      <alignment readingOrder="1"/>
    </xf>
    <xf numFmtId="0" fontId="16" fillId="0" borderId="0" xfId="0" applyFont="1" applyAlignment="1">
      <alignment horizontal="center" readingOrder="1"/>
    </xf>
    <xf numFmtId="0" fontId="16" fillId="0" borderId="0" xfId="0" quotePrefix="1" applyFont="1" applyAlignment="1">
      <alignment horizontal="center" readingOrder="1"/>
    </xf>
    <xf numFmtId="0" fontId="18" fillId="0" borderId="0" xfId="0" applyFont="1" applyAlignment="1">
      <alignment readingOrder="1"/>
    </xf>
    <xf numFmtId="0" fontId="18" fillId="0" borderId="0" xfId="0" applyFont="1" applyAlignment="1">
      <alignment horizontal="center" readingOrder="1"/>
    </xf>
    <xf numFmtId="0" fontId="18" fillId="0" borderId="0" xfId="0" quotePrefix="1" applyFont="1" applyAlignment="1">
      <alignment horizontal="center" readingOrder="1"/>
    </xf>
    <xf numFmtId="0" fontId="22" fillId="0" borderId="25" xfId="0" applyFont="1" applyBorder="1"/>
    <xf numFmtId="0" fontId="23" fillId="0" borderId="37" xfId="0" applyFont="1" applyBorder="1" applyAlignment="1">
      <alignment horizontal="center" readingOrder="1"/>
    </xf>
    <xf numFmtId="0" fontId="24" fillId="0" borderId="2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3" fillId="0" borderId="33" xfId="0" applyFont="1" applyBorder="1" applyAlignment="1">
      <alignment readingOrder="1"/>
    </xf>
    <xf numFmtId="0" fontId="26" fillId="0" borderId="33" xfId="0" applyFont="1" applyBorder="1" applyAlignment="1">
      <alignment horizontal="center" vertical="center" readingOrder="1"/>
    </xf>
    <xf numFmtId="3" fontId="23" fillId="0" borderId="33" xfId="0" applyNumberFormat="1" applyFont="1" applyBorder="1" applyAlignment="1">
      <alignment horizontal="center" vertical="center" readingOrder="1"/>
    </xf>
    <xf numFmtId="9" fontId="23" fillId="0" borderId="33" xfId="0" applyNumberFormat="1" applyFont="1" applyBorder="1" applyAlignment="1">
      <alignment horizontal="center" vertical="center" readingOrder="1"/>
    </xf>
    <xf numFmtId="10" fontId="23" fillId="0" borderId="33" xfId="0" applyNumberFormat="1" applyFont="1" applyBorder="1" applyAlignment="1">
      <alignment horizontal="center" vertical="center" readingOrder="1"/>
    </xf>
    <xf numFmtId="3" fontId="23" fillId="0" borderId="33" xfId="0" applyNumberFormat="1" applyFont="1" applyBorder="1" applyAlignment="1">
      <alignment readingOrder="1"/>
    </xf>
    <xf numFmtId="10" fontId="23" fillId="0" borderId="33" xfId="0" applyNumberFormat="1" applyFont="1" applyBorder="1" applyAlignment="1">
      <alignment readingOrder="1"/>
    </xf>
    <xf numFmtId="0" fontId="26" fillId="0" borderId="33" xfId="0" applyFont="1" applyBorder="1" applyAlignment="1">
      <alignment readingOrder="1"/>
    </xf>
    <xf numFmtId="3" fontId="26" fillId="0" borderId="33" xfId="0" applyNumberFormat="1" applyFont="1" applyBorder="1" applyAlignment="1">
      <alignment horizontal="center" vertical="center" readingOrder="1"/>
    </xf>
    <xf numFmtId="10" fontId="26" fillId="0" borderId="33" xfId="0" applyNumberFormat="1" applyFont="1" applyBorder="1" applyAlignment="1">
      <alignment horizontal="center" vertical="center" readingOrder="1"/>
    </xf>
    <xf numFmtId="3" fontId="26" fillId="0" borderId="33" xfId="0" applyNumberFormat="1" applyFont="1" applyBorder="1" applyAlignment="1">
      <alignment readingOrder="1"/>
    </xf>
    <xf numFmtId="10" fontId="26" fillId="0" borderId="33" xfId="0" applyNumberFormat="1" applyFont="1" applyBorder="1" applyAlignment="1">
      <alignment readingOrder="1"/>
    </xf>
    <xf numFmtId="0" fontId="27" fillId="0" borderId="33" xfId="0" applyFont="1" applyBorder="1" applyAlignment="1">
      <alignment readingOrder="1"/>
    </xf>
    <xf numFmtId="3" fontId="27" fillId="0" borderId="33" xfId="0" applyNumberFormat="1" applyFont="1" applyBorder="1" applyAlignment="1">
      <alignment readingOrder="1"/>
    </xf>
    <xf numFmtId="9" fontId="26" fillId="0" borderId="33" xfId="0" applyNumberFormat="1" applyFont="1" applyBorder="1" applyAlignment="1">
      <alignment readingOrder="1"/>
    </xf>
    <xf numFmtId="0" fontId="23" fillId="0" borderId="33" xfId="0" applyFont="1" applyBorder="1" applyAlignment="1">
      <alignment horizontal="center" vertical="center" readingOrder="1"/>
    </xf>
    <xf numFmtId="0" fontId="23" fillId="0" borderId="33" xfId="0" quotePrefix="1" applyFont="1" applyBorder="1" applyAlignment="1">
      <alignment horizontal="center" vertical="center" readingOrder="1"/>
    </xf>
    <xf numFmtId="0" fontId="23" fillId="0" borderId="0" xfId="0" applyFont="1" applyAlignment="1">
      <alignment readingOrder="1"/>
    </xf>
    <xf numFmtId="0" fontId="23" fillId="0" borderId="0" xfId="0" applyFont="1" applyAlignment="1">
      <alignment horizontal="center" readingOrder="1"/>
    </xf>
    <xf numFmtId="0" fontId="23" fillId="0" borderId="0" xfId="0" quotePrefix="1" applyFont="1" applyAlignment="1">
      <alignment horizontal="center" readingOrder="1"/>
    </xf>
    <xf numFmtId="10" fontId="18" fillId="0" borderId="33" xfId="0" applyNumberFormat="1" applyFont="1" applyBorder="1" applyAlignment="1">
      <alignment horizontal="center" readingOrder="1"/>
    </xf>
    <xf numFmtId="0" fontId="23" fillId="0" borderId="39" xfId="0" applyFont="1" applyBorder="1" applyAlignment="1">
      <alignment readingOrder="1"/>
    </xf>
    <xf numFmtId="3" fontId="16" fillId="0" borderId="39" xfId="0" applyNumberFormat="1" applyFont="1" applyBorder="1" applyAlignment="1">
      <alignment horizontal="center" readingOrder="1"/>
    </xf>
    <xf numFmtId="9" fontId="16" fillId="0" borderId="39" xfId="0" applyNumberFormat="1" applyFont="1" applyBorder="1" applyAlignment="1">
      <alignment horizontal="center" readingOrder="1"/>
    </xf>
    <xf numFmtId="0" fontId="16" fillId="0" borderId="39" xfId="0" applyFont="1" applyBorder="1" applyAlignment="1">
      <alignment horizontal="center" readingOrder="1"/>
    </xf>
    <xf numFmtId="0" fontId="16" fillId="0" borderId="39" xfId="0" quotePrefix="1" applyFont="1" applyBorder="1" applyAlignment="1">
      <alignment horizontal="center" readingOrder="1"/>
    </xf>
    <xf numFmtId="0" fontId="28" fillId="0" borderId="0" xfId="0" applyFont="1"/>
    <xf numFmtId="3" fontId="0" fillId="0" borderId="0" xfId="0" applyNumberFormat="1"/>
    <xf numFmtId="0" fontId="29" fillId="0" borderId="0" xfId="0" applyFont="1"/>
    <xf numFmtId="0" fontId="9" fillId="0" borderId="17" xfId="0" applyFont="1" applyBorder="1"/>
    <xf numFmtId="3" fontId="9" fillId="0" borderId="20" xfId="0" applyNumberFormat="1" applyFont="1" applyBorder="1" applyAlignment="1">
      <alignment horizontal="right"/>
    </xf>
    <xf numFmtId="3" fontId="9" fillId="0" borderId="10" xfId="0" applyNumberFormat="1" applyFont="1" applyBorder="1" applyAlignment="1">
      <alignment horizontal="right"/>
    </xf>
    <xf numFmtId="0" fontId="9" fillId="0" borderId="32" xfId="0" applyFont="1" applyBorder="1"/>
    <xf numFmtId="3" fontId="9" fillId="0" borderId="13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right"/>
    </xf>
    <xf numFmtId="0" fontId="29" fillId="0" borderId="20" xfId="0" applyFont="1" applyBorder="1"/>
    <xf numFmtId="3" fontId="14" fillId="0" borderId="0" xfId="0" applyNumberFormat="1" applyFont="1"/>
    <xf numFmtId="0" fontId="1" fillId="0" borderId="0" xfId="2"/>
    <xf numFmtId="0" fontId="10" fillId="7" borderId="29" xfId="0" applyFont="1" applyFill="1" applyBorder="1"/>
    <xf numFmtId="0" fontId="11" fillId="0" borderId="29" xfId="0" applyFont="1" applyBorder="1"/>
    <xf numFmtId="0" fontId="10" fillId="7" borderId="26" xfId="0" applyFont="1" applyFill="1" applyBorder="1"/>
    <xf numFmtId="0" fontId="10" fillId="7" borderId="27" xfId="0" applyFont="1" applyFill="1" applyBorder="1"/>
    <xf numFmtId="0" fontId="10" fillId="7" borderId="15" xfId="0" applyFont="1" applyFill="1" applyBorder="1"/>
    <xf numFmtId="10" fontId="11" fillId="9" borderId="14" xfId="0" applyNumberFormat="1" applyFont="1" applyFill="1" applyBorder="1"/>
    <xf numFmtId="0" fontId="11" fillId="9" borderId="14" xfId="0" applyFont="1" applyFill="1" applyBorder="1"/>
    <xf numFmtId="9" fontId="11" fillId="9" borderId="14" xfId="0" applyNumberFormat="1" applyFont="1" applyFill="1" applyBorder="1"/>
    <xf numFmtId="0" fontId="11" fillId="10" borderId="40" xfId="0" applyFont="1" applyFill="1" applyBorder="1"/>
    <xf numFmtId="0" fontId="11" fillId="10" borderId="0" xfId="0" applyFont="1" applyFill="1"/>
    <xf numFmtId="0" fontId="10" fillId="7" borderId="0" xfId="0" applyFont="1" applyFill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0" fontId="13" fillId="10" borderId="40" xfId="0" applyFont="1" applyFill="1" applyBorder="1"/>
    <xf numFmtId="0" fontId="11" fillId="10" borderId="10" xfId="0" applyFont="1" applyFill="1" applyBorder="1"/>
    <xf numFmtId="0" fontId="13" fillId="10" borderId="0" xfId="0" applyFont="1" applyFill="1"/>
    <xf numFmtId="10" fontId="11" fillId="10" borderId="0" xfId="0" applyNumberFormat="1" applyFont="1" applyFill="1"/>
    <xf numFmtId="0" fontId="13" fillId="10" borderId="29" xfId="0" applyFont="1" applyFill="1" applyBorder="1"/>
    <xf numFmtId="0" fontId="13" fillId="10" borderId="31" xfId="0" applyFont="1" applyFill="1" applyBorder="1"/>
    <xf numFmtId="10" fontId="11" fillId="10" borderId="31" xfId="0" applyNumberFormat="1" applyFont="1" applyFill="1" applyBorder="1"/>
    <xf numFmtId="0" fontId="11" fillId="10" borderId="31" xfId="0" applyFont="1" applyFill="1" applyBorder="1"/>
    <xf numFmtId="0" fontId="11" fillId="10" borderId="14" xfId="0" applyFont="1" applyFill="1" applyBorder="1"/>
    <xf numFmtId="0" fontId="10" fillId="7" borderId="25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20" xfId="0" applyFont="1" applyFill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19" fillId="2" borderId="35" xfId="0" applyFont="1" applyFill="1" applyBorder="1" applyAlignment="1">
      <alignment horizontal="center"/>
    </xf>
    <xf numFmtId="0" fontId="19" fillId="2" borderId="36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21" fillId="3" borderId="26" xfId="0" applyFont="1" applyFill="1" applyBorder="1" applyAlignment="1">
      <alignment horizontal="center"/>
    </xf>
    <xf numFmtId="0" fontId="21" fillId="3" borderId="27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0" fontId="20" fillId="3" borderId="27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7" xfId="0" applyBorder="1"/>
    <xf numFmtId="0" fontId="0" fillId="0" borderId="15" xfId="0" applyBorder="1"/>
    <xf numFmtId="0" fontId="5" fillId="3" borderId="2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/>
    </xf>
    <xf numFmtId="0" fontId="12" fillId="10" borderId="26" xfId="0" applyFont="1" applyFill="1" applyBorder="1" applyAlignment="1">
      <alignment horizontal="center"/>
    </xf>
    <xf numFmtId="0" fontId="12" fillId="10" borderId="27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</cellXfs>
  <cellStyles count="3">
    <cellStyle name="Normale" xfId="0" builtinId="0"/>
    <cellStyle name="Normale 2" xfId="2" xr:uid="{CDD91D93-96B9-41A6-BDBE-2573218BB5B8}"/>
    <cellStyle name="Percentuale" xfId="1" builtinId="5"/>
  </cellStyles>
  <dxfs count="0"/>
  <tableStyles count="0" defaultTableStyle="TableStyleMedium2" defaultPivotStyle="PivotStyleLight16"/>
  <colors>
    <mruColors>
      <color rgb="FFF4B70C"/>
      <color rgb="FFE827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5"/>
                </a:solidFill>
              </a:rPr>
              <a:t>enel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'Balance sheet'!$S$5</c:f>
              <c:strCache>
                <c:ptCount val="1"/>
                <c:pt idx="0">
                  <c:v>Non-current assets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sheet'!$T$4:$U$4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sheet'!$T$5:$U$5</c:f>
              <c:numCache>
                <c:formatCode>0.00%</c:formatCode>
                <c:ptCount val="2"/>
                <c:pt idx="0">
                  <c:v>0.77937789557494697</c:v>
                </c:pt>
                <c:pt idx="1">
                  <c:v>0.74114350694586728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9-4C13-9E56-E715B5B37110}"/>
            </c:ext>
          </c:extLst>
        </c:ser>
        <c:ser>
          <c:idx val="1"/>
          <c:order val="1"/>
          <c:tx>
            <c:strRef>
              <c:f>'Balance sheet'!$S$6</c:f>
              <c:strCache>
                <c:ptCount val="1"/>
                <c:pt idx="0">
                  <c:v>Current assets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sheet'!$T$4:$U$4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sheet'!$T$6:$U$6</c:f>
              <c:numCache>
                <c:formatCode>0.00%</c:formatCode>
                <c:ptCount val="2"/>
                <c:pt idx="0">
                  <c:v>0.21840450146682414</c:v>
                </c:pt>
                <c:pt idx="1">
                  <c:v>0.22853747490062698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9-4C13-9E56-E715B5B37110}"/>
            </c:ext>
          </c:extLst>
        </c:ser>
        <c:ser>
          <c:idx val="2"/>
          <c:order val="2"/>
          <c:tx>
            <c:strRef>
              <c:f>'Balance sheet'!$S$7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sheet'!$T$4:$U$4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sheet'!$T$7:$U$7</c:f>
              <c:numCache>
                <c:formatCode>0.00%</c:formatCode>
                <c:ptCount val="2"/>
                <c:pt idx="0">
                  <c:v>0.26275121700981624</c:v>
                </c:pt>
                <c:pt idx="1">
                  <c:v>0.23106277916649592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9-4C13-9E56-E715B5B37110}"/>
            </c:ext>
          </c:extLst>
        </c:ser>
        <c:ser>
          <c:idx val="3"/>
          <c:order val="3"/>
          <c:tx>
            <c:strRef>
              <c:f>'Balance sheet'!$S$8</c:f>
              <c:strCache>
                <c:ptCount val="1"/>
                <c:pt idx="0">
                  <c:v>Non-current liabilities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sheet'!$T$4:$U$4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sheet'!$T$8:$U$8</c:f>
              <c:numCache>
                <c:formatCode>0.00%</c:formatCode>
                <c:ptCount val="2"/>
                <c:pt idx="0">
                  <c:v>0.47106696092209532</c:v>
                </c:pt>
                <c:pt idx="1">
                  <c:v>0.46613121337540464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9-4C13-9E56-E715B5B37110}"/>
            </c:ext>
          </c:extLst>
        </c:ser>
        <c:ser>
          <c:idx val="4"/>
          <c:order val="4"/>
          <c:tx>
            <c:strRef>
              <c:f>'Balance sheet'!$S$9</c:f>
              <c:strCache>
                <c:ptCount val="1"/>
                <c:pt idx="0">
                  <c:v>Current liabilities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sheet'!$T$4:$U$4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sheet'!$T$9:$U$9</c:f>
              <c:numCache>
                <c:formatCode>0.00%</c:formatCode>
                <c:ptCount val="2"/>
                <c:pt idx="0">
                  <c:v>0.26538027883017434</c:v>
                </c:pt>
                <c:pt idx="1">
                  <c:v>0.29094271196164406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9-4C13-9E56-E715B5B371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29421456"/>
        <c:axId val="1829428176"/>
      </c:barChart>
      <c:catAx>
        <c:axId val="182942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9428176"/>
        <c:crosses val="autoZero"/>
        <c:auto val="1"/>
        <c:lblAlgn val="ctr"/>
        <c:lblOffset val="100"/>
        <c:noMultiLvlLbl val="0"/>
      </c:catAx>
      <c:valAx>
        <c:axId val="18294281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2942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4"/>
                </a:solidFill>
              </a:rPr>
              <a:t>IBERDROLA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'Balance sheet'!$S$25</c:f>
              <c:strCache>
                <c:ptCount val="1"/>
                <c:pt idx="0">
                  <c:v>Non-current assets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sheet'!$T$24:$U$24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sheet'!$T$25:$U$25</c:f>
              <c:numCache>
                <c:formatCode>0.00%</c:formatCode>
                <c:ptCount val="2"/>
                <c:pt idx="0">
                  <c:v>0.86837699708767913</c:v>
                </c:pt>
                <c:pt idx="1">
                  <c:v>0.84628048495997543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35C-B86A-0F0D008B5244}"/>
            </c:ext>
          </c:extLst>
        </c:ser>
        <c:ser>
          <c:idx val="1"/>
          <c:order val="1"/>
          <c:tx>
            <c:strRef>
              <c:f>'Balance sheet'!$S$26</c:f>
              <c:strCache>
                <c:ptCount val="1"/>
                <c:pt idx="0">
                  <c:v>Current assets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sheet'!$T$24:$U$24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sheet'!$T$26:$U$26</c:f>
              <c:numCache>
                <c:formatCode>0.00%</c:formatCode>
                <c:ptCount val="2"/>
                <c:pt idx="0">
                  <c:v>0.13162300291232082</c:v>
                </c:pt>
                <c:pt idx="1">
                  <c:v>0.15371951504002454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E-435C-B86A-0F0D008B5244}"/>
            </c:ext>
          </c:extLst>
        </c:ser>
        <c:ser>
          <c:idx val="2"/>
          <c:order val="2"/>
          <c:tx>
            <c:strRef>
              <c:f>'Balance sheet'!$S$27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sheet'!$T$24:$U$24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sheet'!$T$27:$U$27</c:f>
              <c:numCache>
                <c:formatCode>0.00%</c:formatCode>
                <c:ptCount val="2"/>
                <c:pt idx="0">
                  <c:v>0.38568351095752812</c:v>
                </c:pt>
                <c:pt idx="1">
                  <c:v>0.40185825784993967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E-435C-B86A-0F0D008B5244}"/>
            </c:ext>
          </c:extLst>
        </c:ser>
        <c:ser>
          <c:idx val="3"/>
          <c:order val="3"/>
          <c:tx>
            <c:strRef>
              <c:f>'Balance sheet'!$S$28</c:f>
              <c:strCache>
                <c:ptCount val="1"/>
                <c:pt idx="0">
                  <c:v>Non-current liabilities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sheet'!$T$24:$U$24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sheet'!$T$28:$U$28</c:f>
              <c:numCache>
                <c:formatCode>0.00%</c:formatCode>
                <c:ptCount val="2"/>
                <c:pt idx="0">
                  <c:v>0.42391640817976789</c:v>
                </c:pt>
                <c:pt idx="1">
                  <c:v>0.41103623869415395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E-435C-B86A-0F0D008B5244}"/>
            </c:ext>
          </c:extLst>
        </c:ser>
        <c:ser>
          <c:idx val="4"/>
          <c:order val="4"/>
          <c:tx>
            <c:strRef>
              <c:f>'Balance sheet'!$S$29</c:f>
              <c:strCache>
                <c:ptCount val="1"/>
                <c:pt idx="0">
                  <c:v>Current liabilities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625404906856645E-2"/>
                      <c:h val="5.24999243921217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BFE-435C-B86A-0F0D008B5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'Balance sheet'!$T$24:$U$24</c:f>
              <c:numCache>
                <c:formatCode>General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'Balance sheet'!$T$29:$U$29</c:f>
              <c:numCache>
                <c:formatCode>0.00%</c:formatCode>
                <c:ptCount val="2"/>
                <c:pt idx="0">
                  <c:v>0.19040008086270396</c:v>
                </c:pt>
                <c:pt idx="1">
                  <c:v>0.18710550345590637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E-435C-B86A-0F0D008B52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25804080"/>
        <c:axId val="825809360"/>
      </c:barChart>
      <c:catAx>
        <c:axId val="82580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5809360"/>
        <c:crosses val="autoZero"/>
        <c:auto val="1"/>
        <c:lblAlgn val="ctr"/>
        <c:lblOffset val="100"/>
        <c:noMultiLvlLbl val="0"/>
      </c:catAx>
      <c:valAx>
        <c:axId val="8258093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258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4"/>
                </a:solidFill>
              </a:rPr>
              <a:t>IBERDROLA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statment'!$J$21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'Income statment'!$I$22:$I$25</c15:sqref>
                  </c15:fullRef>
                </c:ext>
              </c:extLst>
              <c:f>'Income statment'!$I$23:$I$25</c:f>
              <c:strCache>
                <c:ptCount val="3"/>
                <c:pt idx="0">
                  <c:v>EBITDA</c:v>
                </c:pt>
                <c:pt idx="1">
                  <c:v>EBIT</c:v>
                </c:pt>
                <c:pt idx="2">
                  <c:v>Net Profit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statment'!$J$22:$J$25</c15:sqref>
                  </c15:fullRef>
                </c:ext>
              </c:extLst>
              <c:f>'Income statment'!$J$23:$J$25</c:f>
              <c:numCache>
                <c:formatCode>0.00%</c:formatCode>
                <c:ptCount val="3"/>
                <c:pt idx="0">
                  <c:v>0.37658418829209417</c:v>
                </c:pt>
                <c:pt idx="1">
                  <c:v>0.21746127539730437</c:v>
                </c:pt>
                <c:pt idx="2">
                  <c:v>0.12543865531192025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B-434B-84EE-3AD5C730BE1F}"/>
            </c:ext>
          </c:extLst>
        </c:ser>
        <c:ser>
          <c:idx val="1"/>
          <c:order val="1"/>
          <c:tx>
            <c:strRef>
              <c:f>'Income statment'!$K$21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'Income statment'!$I$22:$I$25</c15:sqref>
                  </c15:fullRef>
                </c:ext>
              </c:extLst>
              <c:f>'Income statment'!$I$23:$I$25</c:f>
              <c:strCache>
                <c:ptCount val="3"/>
                <c:pt idx="0">
                  <c:v>EBITDA</c:v>
                </c:pt>
                <c:pt idx="1">
                  <c:v>EBIT</c:v>
                </c:pt>
                <c:pt idx="2">
                  <c:v>Net Profit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statment'!$K$22:$K$25</c15:sqref>
                  </c15:fullRef>
                </c:ext>
              </c:extLst>
              <c:f>'Income statment'!$K$23:$K$25</c:f>
              <c:numCache>
                <c:formatCode>0.00%</c:formatCode>
                <c:ptCount val="3"/>
                <c:pt idx="0">
                  <c:v>0.2922266139657444</c:v>
                </c:pt>
                <c:pt idx="1">
                  <c:v>0.18187899057464274</c:v>
                </c:pt>
                <c:pt idx="2">
                  <c:v>9.7354819093949524E-2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B-434B-84EE-3AD5C730B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843552"/>
        <c:axId val="304842112"/>
      </c:barChart>
      <c:catAx>
        <c:axId val="30484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4842112"/>
        <c:crosses val="autoZero"/>
        <c:auto val="1"/>
        <c:lblAlgn val="ctr"/>
        <c:lblOffset val="100"/>
        <c:noMultiLvlLbl val="0"/>
      </c:catAx>
      <c:valAx>
        <c:axId val="3048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484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5"/>
                </a:solidFill>
              </a:rPr>
              <a:t>ENEL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statment'!$C$21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'Income statment'!$B$22:$B$25</c15:sqref>
                  </c15:fullRef>
                </c:ext>
              </c:extLst>
              <c:f>'Income statment'!$B$23:$B$25</c:f>
              <c:strCache>
                <c:ptCount val="3"/>
                <c:pt idx="0">
                  <c:v>EBITDA</c:v>
                </c:pt>
                <c:pt idx="1">
                  <c:v>EBIT</c:v>
                </c:pt>
                <c:pt idx="2">
                  <c:v>Net Profit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statment'!$C$22:$C$25</c15:sqref>
                  </c15:fullRef>
                </c:ext>
              </c:extLst>
              <c:f>'Income statment'!$C$23:$C$25</c:f>
              <c:numCache>
                <c:formatCode>0.00%</c:formatCode>
                <c:ptCount val="3"/>
                <c:pt idx="0">
                  <c:v>0.30483742257463869</c:v>
                </c:pt>
                <c:pt idx="1">
                  <c:v>0.19625824920516297</c:v>
                </c:pt>
                <c:pt idx="2">
                  <c:v>0.10423448642760333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2-4E9D-A512-D2E81315E102}"/>
            </c:ext>
          </c:extLst>
        </c:ser>
        <c:ser>
          <c:idx val="1"/>
          <c:order val="1"/>
          <c:tx>
            <c:strRef>
              <c:f>'Income statment'!$D$21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'Income statment'!$B$22:$B$25</c15:sqref>
                  </c15:fullRef>
                </c:ext>
              </c:extLst>
              <c:f>'Income statment'!$B$23:$B$25</c:f>
              <c:strCache>
                <c:ptCount val="3"/>
                <c:pt idx="0">
                  <c:v>EBITDA</c:v>
                </c:pt>
                <c:pt idx="1">
                  <c:v>EBIT</c:v>
                </c:pt>
                <c:pt idx="2">
                  <c:v>Net Profit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statment'!$D$22:$D$25</c15:sqref>
                  </c15:fullRef>
                </c:ext>
              </c:extLst>
              <c:f>'Income statment'!$D$23:$D$25</c:f>
              <c:numCache>
                <c:formatCode>0.00%</c:formatCode>
                <c:ptCount val="3"/>
                <c:pt idx="0">
                  <c:v>0.21194998168785642</c:v>
                </c:pt>
                <c:pt idx="1">
                  <c:v>0.11334693663998326</c:v>
                </c:pt>
                <c:pt idx="2">
                  <c:v>4.4650238057866373E-2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2-4E9D-A512-D2E81315E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321856"/>
        <c:axId val="783320896"/>
      </c:barChart>
      <c:catAx>
        <c:axId val="78332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3320896"/>
        <c:crosses val="autoZero"/>
        <c:auto val="1"/>
        <c:lblAlgn val="ctr"/>
        <c:lblOffset val="100"/>
        <c:noMultiLvlLbl val="0"/>
      </c:catAx>
      <c:valAx>
        <c:axId val="78332089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332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525908</xdr:colOff>
      <xdr:row>0</xdr:row>
      <xdr:rowOff>139682</xdr:rowOff>
    </xdr:from>
    <xdr:to>
      <xdr:col>9</xdr:col>
      <xdr:colOff>635000</xdr:colOff>
      <xdr:row>18</xdr:row>
      <xdr:rowOff>78154</xdr:rowOff>
    </xdr:to>
    <xdr:graphicFrame macro="">
      <xdr:nvGraphicFramePr>
        <xdr:cNvPr id="5" name="Grafico 1">
          <a:extLst>
            <a:ext uri="{FF2B5EF4-FFF2-40B4-BE49-F238E27FC236}">
              <a16:creationId xmlns:a16="http://schemas.microsoft.com/office/drawing/2014/main" id="{62B9271D-EE59-1882-FAD9-4B4821CDF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476895</xdr:colOff>
      <xdr:row>20</xdr:row>
      <xdr:rowOff>45344</xdr:rowOff>
    </xdr:from>
    <xdr:to>
      <xdr:col>9</xdr:col>
      <xdr:colOff>615462</xdr:colOff>
      <xdr:row>36</xdr:row>
      <xdr:rowOff>117231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978741C0-050B-ED34-B293-A0B6597FD601}"/>
            </a:ext>
            <a:ext uri="{147F2762-F138-4A5C-976F-8EAC2B608ADB}">
              <a16:predDERef xmlns:a16="http://schemas.microsoft.com/office/drawing/2014/main" pred="{62B9271D-EE59-1882-FAD9-4B4821CDF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467918</xdr:colOff>
      <xdr:row>25</xdr:row>
      <xdr:rowOff>150365</xdr:rowOff>
    </xdr:from>
    <xdr:to>
      <xdr:col>12</xdr:col>
      <xdr:colOff>694082</xdr:colOff>
      <xdr:row>40</xdr:row>
      <xdr:rowOff>156127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6222C600-9614-F23F-FA76-4C4346C3F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472477</xdr:colOff>
      <xdr:row>25</xdr:row>
      <xdr:rowOff>193423</xdr:rowOff>
    </xdr:from>
    <xdr:to>
      <xdr:col>5</xdr:col>
      <xdr:colOff>87234</xdr:colOff>
      <xdr:row>40</xdr:row>
      <xdr:rowOff>146741</xdr:rowOff>
    </xdr:to>
    <xdr:graphicFrame macro="">
      <xdr:nvGraphicFramePr>
        <xdr:cNvPr id="3" name="Grafico 10">
          <a:extLst>
            <a:ext uri="{FF2B5EF4-FFF2-40B4-BE49-F238E27FC236}">
              <a16:creationId xmlns:a16="http://schemas.microsoft.com/office/drawing/2014/main" id="{C23B860D-381D-DB35-5157-EAFED223D06D}"/>
            </a:ext>
            <a:ext uri="{147F2762-F138-4A5C-976F-8EAC2B608ADB}">
              <a16:predDERef xmlns:a16="http://schemas.microsoft.com/office/drawing/2014/main" pred="{6222C600-9614-F23F-FA76-4C4346C3F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106680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5339DC0A-5965-7868-5E38-8DBF6D1D2AE4}"/>
            </a:ext>
          </a:extLst>
        </xdr:cNvPr>
        <xdr:cNvSpPr>
          <a:spLocks noChangeAspect="1" noChangeArrowheads="1"/>
        </xdr:cNvSpPr>
      </xdr:nvSpPr>
      <xdr:spPr bwMode="auto">
        <a:xfrm>
          <a:off x="14767560" y="1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CA44-51E0-41C5-A5CE-39DF01C95EC1}">
  <dimension ref="A1:W36"/>
  <sheetViews>
    <sheetView zoomScale="54" workbookViewId="0">
      <selection activeCell="R28" sqref="R28"/>
    </sheetView>
  </sheetViews>
  <sheetFormatPr defaultRowHeight="13.2" x14ac:dyDescent="0.25"/>
  <cols>
    <col min="2" max="2" width="41.6640625" bestFit="1" customWidth="1"/>
    <col min="3" max="9" width="12.44140625" customWidth="1"/>
    <col min="10" max="10" width="42" bestFit="1" customWidth="1"/>
    <col min="11" max="17" width="12.44140625" customWidth="1"/>
    <col min="18" max="18" width="45" bestFit="1" customWidth="1"/>
    <col min="19" max="22" width="12.44140625" customWidth="1"/>
  </cols>
  <sheetData>
    <row r="1" spans="1:23" ht="28.2" x14ac:dyDescent="0.5">
      <c r="A1" s="188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90"/>
    </row>
    <row r="2" spans="1:23" ht="13.8" x14ac:dyDescent="0.25"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</row>
    <row r="3" spans="1:23" ht="17.399999999999999" x14ac:dyDescent="0.3">
      <c r="B3" s="185" t="s">
        <v>1</v>
      </c>
      <c r="C3" s="186"/>
      <c r="D3" s="186"/>
      <c r="E3" s="186"/>
      <c r="F3" s="186"/>
      <c r="G3" s="187"/>
      <c r="H3" s="85"/>
      <c r="I3" s="85"/>
      <c r="J3" s="185" t="s">
        <v>2</v>
      </c>
      <c r="K3" s="186"/>
      <c r="L3" s="186"/>
      <c r="M3" s="186"/>
      <c r="N3" s="186"/>
      <c r="O3" s="187"/>
      <c r="P3" s="85"/>
      <c r="Q3" s="85"/>
      <c r="R3" s="185" t="s">
        <v>3</v>
      </c>
      <c r="S3" s="186"/>
      <c r="T3" s="186"/>
      <c r="U3" s="187"/>
    </row>
    <row r="4" spans="1:23" s="87" customFormat="1" ht="13.8" x14ac:dyDescent="0.25">
      <c r="B4" s="53" t="s">
        <v>4</v>
      </c>
      <c r="C4" s="94">
        <v>2024</v>
      </c>
      <c r="D4" s="94" t="s">
        <v>5</v>
      </c>
      <c r="E4" s="94">
        <v>2023</v>
      </c>
      <c r="F4" s="94" t="s">
        <v>5</v>
      </c>
      <c r="G4" s="95" t="s">
        <v>6</v>
      </c>
      <c r="H4" s="86"/>
      <c r="I4" s="86"/>
      <c r="J4" s="53" t="s">
        <v>4</v>
      </c>
      <c r="K4" s="94">
        <v>2024</v>
      </c>
      <c r="L4" s="94" t="s">
        <v>5</v>
      </c>
      <c r="M4" s="94">
        <v>2023</v>
      </c>
      <c r="N4" s="94" t="s">
        <v>5</v>
      </c>
      <c r="O4" s="95" t="s">
        <v>6</v>
      </c>
      <c r="P4" s="86"/>
      <c r="Q4" s="86"/>
      <c r="R4" s="53" t="s">
        <v>4</v>
      </c>
      <c r="S4" s="94">
        <v>2024</v>
      </c>
      <c r="T4" s="94">
        <v>2023</v>
      </c>
      <c r="U4" s="95" t="s">
        <v>6</v>
      </c>
      <c r="V4"/>
      <c r="W4"/>
    </row>
    <row r="5" spans="1:23" ht="13.8" x14ac:dyDescent="0.25">
      <c r="B5" s="97" t="s">
        <v>7</v>
      </c>
      <c r="C5" s="96"/>
      <c r="D5" s="96"/>
      <c r="E5" s="96"/>
      <c r="F5" s="96"/>
      <c r="G5" s="96"/>
      <c r="H5" s="85"/>
      <c r="I5" s="85"/>
      <c r="J5" s="97" t="s">
        <v>8</v>
      </c>
      <c r="K5" s="102">
        <v>78947</v>
      </c>
      <c r="L5" s="98" t="s">
        <v>9</v>
      </c>
      <c r="M5" s="102">
        <v>95565</v>
      </c>
      <c r="N5" s="98" t="s">
        <v>9</v>
      </c>
      <c r="O5" s="99" t="s">
        <v>10</v>
      </c>
      <c r="P5" s="85"/>
      <c r="Q5" s="85"/>
      <c r="R5" s="96" t="s">
        <v>11</v>
      </c>
      <c r="S5" s="103">
        <v>8229</v>
      </c>
      <c r="T5" s="103">
        <v>4267</v>
      </c>
      <c r="U5" s="100" t="s">
        <v>12</v>
      </c>
    </row>
    <row r="6" spans="1:23" ht="13.8" x14ac:dyDescent="0.25">
      <c r="B6" s="90" t="s">
        <v>201</v>
      </c>
      <c r="C6" s="104">
        <v>94584</v>
      </c>
      <c r="D6" s="91" t="s">
        <v>14</v>
      </c>
      <c r="E6" s="104">
        <v>89801</v>
      </c>
      <c r="F6" s="91" t="s">
        <v>15</v>
      </c>
      <c r="G6" s="92" t="s">
        <v>16</v>
      </c>
      <c r="H6" s="85"/>
      <c r="I6" s="85"/>
      <c r="J6" s="90" t="s">
        <v>17</v>
      </c>
      <c r="K6" s="104">
        <v>-55358</v>
      </c>
      <c r="L6" s="92" t="s">
        <v>18</v>
      </c>
      <c r="M6" s="104">
        <v>-72344</v>
      </c>
      <c r="N6" s="92" t="s">
        <v>19</v>
      </c>
      <c r="O6" s="92" t="s">
        <v>20</v>
      </c>
      <c r="P6" s="85"/>
      <c r="Q6" s="85"/>
      <c r="R6" s="90" t="s">
        <v>202</v>
      </c>
      <c r="S6" s="104">
        <v>8906</v>
      </c>
      <c r="T6" s="104">
        <v>13311</v>
      </c>
      <c r="U6" s="92" t="s">
        <v>21</v>
      </c>
    </row>
    <row r="7" spans="1:23" ht="13.8" x14ac:dyDescent="0.25">
      <c r="B7" s="90" t="s">
        <v>22</v>
      </c>
      <c r="C7" s="104">
        <v>15837</v>
      </c>
      <c r="D7" s="91" t="s">
        <v>23</v>
      </c>
      <c r="E7" s="104">
        <v>17055</v>
      </c>
      <c r="F7" s="91" t="s">
        <v>24</v>
      </c>
      <c r="G7" s="92" t="s">
        <v>25</v>
      </c>
      <c r="H7" s="85"/>
      <c r="I7" s="85"/>
      <c r="J7" s="90" t="s">
        <v>26</v>
      </c>
      <c r="K7" s="91">
        <v>477</v>
      </c>
      <c r="L7" s="91" t="s">
        <v>27</v>
      </c>
      <c r="M7" s="104">
        <v>-2966</v>
      </c>
      <c r="N7" s="92" t="s">
        <v>28</v>
      </c>
      <c r="O7" s="137">
        <v>-1.1599999999999999E-2</v>
      </c>
      <c r="P7" s="85"/>
      <c r="Q7" s="85"/>
      <c r="R7" s="90" t="s">
        <v>29</v>
      </c>
      <c r="S7" s="104">
        <v>-1108</v>
      </c>
      <c r="T7" s="91">
        <v>-604</v>
      </c>
      <c r="U7" s="92" t="s">
        <v>30</v>
      </c>
    </row>
    <row r="8" spans="1:23" ht="13.8" x14ac:dyDescent="0.25">
      <c r="B8" s="90" t="s">
        <v>31</v>
      </c>
      <c r="C8" s="101" t="s">
        <v>203</v>
      </c>
      <c r="D8" s="91" t="s">
        <v>32</v>
      </c>
      <c r="E8" s="104">
        <v>13042</v>
      </c>
      <c r="F8" s="91" t="s">
        <v>33</v>
      </c>
      <c r="G8" s="92" t="s">
        <v>34</v>
      </c>
      <c r="H8" s="85"/>
      <c r="I8" s="85"/>
      <c r="J8" s="89" t="s">
        <v>35</v>
      </c>
      <c r="K8" s="105">
        <v>24066</v>
      </c>
      <c r="L8" s="88" t="s">
        <v>36</v>
      </c>
      <c r="M8" s="105">
        <v>20255</v>
      </c>
      <c r="N8" s="88" t="s">
        <v>37</v>
      </c>
      <c r="O8" s="93" t="s">
        <v>38</v>
      </c>
      <c r="P8" s="85"/>
      <c r="Q8" s="85"/>
      <c r="R8" s="89" t="s">
        <v>39</v>
      </c>
      <c r="S8" s="105">
        <v>13223</v>
      </c>
      <c r="T8" s="88" t="s">
        <v>204</v>
      </c>
      <c r="U8" s="93" t="s">
        <v>40</v>
      </c>
    </row>
    <row r="9" spans="1:23" ht="13.8" x14ac:dyDescent="0.25">
      <c r="B9" s="90" t="s">
        <v>41</v>
      </c>
      <c r="C9" s="104">
        <v>22581</v>
      </c>
      <c r="D9" s="91" t="s">
        <v>42</v>
      </c>
      <c r="E9" s="104">
        <v>24791</v>
      </c>
      <c r="F9" s="91" t="s">
        <v>43</v>
      </c>
      <c r="G9" s="92" t="s">
        <v>44</v>
      </c>
      <c r="H9" s="85"/>
      <c r="I9" s="85"/>
      <c r="J9" s="90" t="s">
        <v>205</v>
      </c>
      <c r="K9" s="104">
        <v>-8572</v>
      </c>
      <c r="L9" s="92" t="s">
        <v>45</v>
      </c>
      <c r="M9" s="104">
        <v>-9423</v>
      </c>
      <c r="N9" s="92" t="s">
        <v>46</v>
      </c>
      <c r="O9" s="92" t="s">
        <v>47</v>
      </c>
      <c r="P9" s="85"/>
      <c r="Q9" s="85"/>
      <c r="R9" s="90" t="s">
        <v>206</v>
      </c>
      <c r="S9" s="104">
        <v>-8931</v>
      </c>
      <c r="T9" s="104">
        <v>-11383</v>
      </c>
      <c r="U9" s="92" t="s">
        <v>48</v>
      </c>
    </row>
    <row r="10" spans="1:23" ht="13.8" x14ac:dyDescent="0.25">
      <c r="B10" s="89" t="s">
        <v>49</v>
      </c>
      <c r="C10" s="105">
        <v>145852</v>
      </c>
      <c r="D10" s="88" t="s">
        <v>50</v>
      </c>
      <c r="E10" s="105">
        <v>144689</v>
      </c>
      <c r="F10" s="88" t="s">
        <v>51</v>
      </c>
      <c r="G10" s="93" t="s">
        <v>52</v>
      </c>
      <c r="H10" s="85"/>
      <c r="I10" s="85"/>
      <c r="J10" s="89" t="s">
        <v>53</v>
      </c>
      <c r="K10" s="105">
        <v>15494</v>
      </c>
      <c r="L10" s="88" t="s">
        <v>54</v>
      </c>
      <c r="M10" s="105">
        <v>10832</v>
      </c>
      <c r="N10" s="88" t="s">
        <v>55</v>
      </c>
      <c r="O10" s="93" t="s">
        <v>56</v>
      </c>
      <c r="P10" s="85"/>
      <c r="Q10" s="85"/>
      <c r="R10" s="90" t="s">
        <v>57</v>
      </c>
      <c r="S10" s="104">
        <v>-1235</v>
      </c>
      <c r="T10" s="104">
        <v>-1385</v>
      </c>
      <c r="U10" s="92" t="s">
        <v>58</v>
      </c>
    </row>
    <row r="11" spans="1:23" ht="13.8" x14ac:dyDescent="0.25">
      <c r="B11" s="90" t="s">
        <v>59</v>
      </c>
      <c r="C11" s="104">
        <v>15941</v>
      </c>
      <c r="D11" s="91" t="s">
        <v>23</v>
      </c>
      <c r="E11" s="104">
        <v>17773</v>
      </c>
      <c r="F11" s="91" t="s">
        <v>60</v>
      </c>
      <c r="G11" s="92" t="s">
        <v>61</v>
      </c>
      <c r="H11" s="85"/>
      <c r="I11" s="85"/>
      <c r="J11" s="90" t="s">
        <v>62</v>
      </c>
      <c r="K11" s="104">
        <v>-3401</v>
      </c>
      <c r="L11" s="92" t="s">
        <v>63</v>
      </c>
      <c r="M11" s="104">
        <v>-3375</v>
      </c>
      <c r="N11" s="92" t="s">
        <v>64</v>
      </c>
      <c r="O11" s="92" t="s">
        <v>52</v>
      </c>
      <c r="P11" s="85"/>
      <c r="Q11" s="85"/>
      <c r="R11" s="90" t="s">
        <v>65</v>
      </c>
      <c r="S11" s="104">
        <v>5622</v>
      </c>
      <c r="T11" s="104">
        <v>2083</v>
      </c>
      <c r="U11" s="92" t="s">
        <v>66</v>
      </c>
    </row>
    <row r="12" spans="1:23" ht="13.8" x14ac:dyDescent="0.25">
      <c r="B12" s="90" t="s">
        <v>67</v>
      </c>
      <c r="C12" s="104">
        <v>8051</v>
      </c>
      <c r="D12" s="91" t="s">
        <v>68</v>
      </c>
      <c r="E12" s="104">
        <v>6801</v>
      </c>
      <c r="F12" s="91" t="s">
        <v>69</v>
      </c>
      <c r="G12" s="92" t="s">
        <v>70</v>
      </c>
      <c r="H12" s="85"/>
      <c r="I12" s="85"/>
      <c r="J12" s="90" t="s">
        <v>71</v>
      </c>
      <c r="K12" s="91">
        <v>-210</v>
      </c>
      <c r="L12" s="92" t="s">
        <v>72</v>
      </c>
      <c r="M12" s="91">
        <v>-41</v>
      </c>
      <c r="N12" s="91" t="s">
        <v>73</v>
      </c>
      <c r="O12" s="92" t="s">
        <v>74</v>
      </c>
      <c r="P12" s="85"/>
      <c r="Q12" s="85"/>
      <c r="R12" s="89" t="s">
        <v>75</v>
      </c>
      <c r="S12" s="105">
        <v>-4108</v>
      </c>
      <c r="T12" s="88" t="s">
        <v>207</v>
      </c>
      <c r="U12" s="93" t="s">
        <v>76</v>
      </c>
    </row>
    <row r="13" spans="1:23" ht="13.8" x14ac:dyDescent="0.25">
      <c r="B13" s="90" t="s">
        <v>77</v>
      </c>
      <c r="C13" s="101" t="s">
        <v>208</v>
      </c>
      <c r="D13" s="91" t="s">
        <v>78</v>
      </c>
      <c r="E13" s="104">
        <v>20042</v>
      </c>
      <c r="F13" s="91" t="s">
        <v>79</v>
      </c>
      <c r="G13" s="92" t="s">
        <v>80</v>
      </c>
      <c r="H13" s="85"/>
      <c r="I13" s="85"/>
      <c r="J13" s="89" t="s">
        <v>81</v>
      </c>
      <c r="K13" s="105">
        <v>11883</v>
      </c>
      <c r="L13" s="88" t="s">
        <v>82</v>
      </c>
      <c r="M13" s="105">
        <v>7416</v>
      </c>
      <c r="N13" s="88" t="s">
        <v>83</v>
      </c>
      <c r="O13" s="93" t="s">
        <v>84</v>
      </c>
      <c r="P13" s="85"/>
      <c r="Q13" s="85"/>
      <c r="R13" s="90" t="s">
        <v>85</v>
      </c>
      <c r="S13" s="104">
        <v>-5126</v>
      </c>
      <c r="T13" s="104">
        <v>-5135</v>
      </c>
      <c r="U13" s="92" t="s">
        <v>86</v>
      </c>
    </row>
    <row r="14" spans="1:23" ht="13.8" x14ac:dyDescent="0.25">
      <c r="B14" s="89" t="s">
        <v>87</v>
      </c>
      <c r="C14" s="105">
        <v>40872</v>
      </c>
      <c r="D14" s="88" t="s">
        <v>88</v>
      </c>
      <c r="E14" s="105">
        <v>44616</v>
      </c>
      <c r="F14" s="88" t="s">
        <v>89</v>
      </c>
      <c r="G14" s="93" t="s">
        <v>90</v>
      </c>
      <c r="H14" s="85"/>
      <c r="I14" s="85"/>
      <c r="J14" s="90" t="s">
        <v>91</v>
      </c>
      <c r="K14" s="104">
        <v>-3654</v>
      </c>
      <c r="L14" s="92" t="s">
        <v>92</v>
      </c>
      <c r="M14" s="104">
        <v>-2778</v>
      </c>
      <c r="N14" s="92" t="s">
        <v>93</v>
      </c>
      <c r="O14" s="92" t="s">
        <v>94</v>
      </c>
      <c r="P14" s="85"/>
      <c r="Q14" s="85"/>
      <c r="R14" s="90" t="s">
        <v>95</v>
      </c>
      <c r="S14" s="104">
        <v>-2863</v>
      </c>
      <c r="T14" s="104">
        <v>-3226</v>
      </c>
      <c r="U14" s="92" t="s">
        <v>96</v>
      </c>
    </row>
    <row r="15" spans="1:23" ht="13.8" x14ac:dyDescent="0.25">
      <c r="B15" s="90" t="s">
        <v>97</v>
      </c>
      <c r="C15" s="91">
        <v>415</v>
      </c>
      <c r="D15" s="91" t="s">
        <v>98</v>
      </c>
      <c r="E15" s="104">
        <v>5919</v>
      </c>
      <c r="F15" s="91" t="s">
        <v>99</v>
      </c>
      <c r="G15" s="92" t="s">
        <v>100</v>
      </c>
      <c r="H15" s="85"/>
      <c r="I15" s="85"/>
      <c r="J15" s="138" t="s">
        <v>223</v>
      </c>
      <c r="K15" s="139">
        <v>8229</v>
      </c>
      <c r="L15" s="141" t="s">
        <v>101</v>
      </c>
      <c r="M15" s="139">
        <v>4267</v>
      </c>
      <c r="N15" s="141" t="s">
        <v>102</v>
      </c>
      <c r="O15" s="142" t="s">
        <v>12</v>
      </c>
      <c r="P15" s="85"/>
      <c r="Q15" s="85"/>
      <c r="R15" s="89" t="s">
        <v>103</v>
      </c>
      <c r="S15" s="105">
        <v>-7989</v>
      </c>
      <c r="T15" s="105">
        <v>-8361</v>
      </c>
      <c r="U15" s="93" t="s">
        <v>104</v>
      </c>
    </row>
    <row r="16" spans="1:23" ht="13.8" x14ac:dyDescent="0.25">
      <c r="B16" s="89" t="s">
        <v>105</v>
      </c>
      <c r="C16" s="105">
        <v>187139</v>
      </c>
      <c r="D16" s="88" t="s">
        <v>9</v>
      </c>
      <c r="E16" s="105">
        <v>195224</v>
      </c>
      <c r="F16" s="88" t="s">
        <v>9</v>
      </c>
      <c r="G16" s="93" t="s">
        <v>106</v>
      </c>
      <c r="H16" s="85"/>
      <c r="I16" s="85"/>
      <c r="J16" s="106"/>
      <c r="K16" s="107"/>
      <c r="L16" s="107"/>
      <c r="M16" s="107"/>
      <c r="N16" s="107"/>
      <c r="O16" s="108"/>
      <c r="P16" s="85"/>
      <c r="Q16" s="85"/>
      <c r="R16" s="90" t="s">
        <v>107</v>
      </c>
      <c r="S16" s="91">
        <v>-74</v>
      </c>
      <c r="T16" s="91">
        <v>-49</v>
      </c>
      <c r="U16" s="92" t="s">
        <v>108</v>
      </c>
    </row>
    <row r="17" spans="2:21" ht="13.8" x14ac:dyDescent="0.25">
      <c r="B17" s="90"/>
      <c r="C17" s="91"/>
      <c r="D17" s="91"/>
      <c r="E17" s="91"/>
      <c r="F17" s="91"/>
      <c r="G17" s="91"/>
      <c r="H17" s="85"/>
      <c r="I17" s="85"/>
      <c r="J17" s="85"/>
      <c r="K17" s="153"/>
      <c r="L17" s="85"/>
      <c r="M17" s="85"/>
      <c r="N17" s="85"/>
      <c r="O17" s="85"/>
      <c r="P17" s="85"/>
      <c r="Q17" s="85"/>
      <c r="R17" s="138" t="s">
        <v>109</v>
      </c>
      <c r="S17" s="139">
        <v>1052</v>
      </c>
      <c r="T17" s="139">
        <v>-4400</v>
      </c>
      <c r="U17" s="140">
        <v>-1.24</v>
      </c>
    </row>
    <row r="18" spans="2:21" ht="13.8" x14ac:dyDescent="0.25">
      <c r="B18" s="89" t="s">
        <v>110</v>
      </c>
      <c r="C18" s="91"/>
      <c r="D18" s="91"/>
      <c r="E18" s="91"/>
      <c r="F18" s="91"/>
      <c r="G18" s="91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106"/>
      <c r="S18" s="107"/>
      <c r="T18" s="107"/>
      <c r="U18" s="108"/>
    </row>
    <row r="19" spans="2:21" ht="13.8" x14ac:dyDescent="0.25">
      <c r="B19" s="89" t="s">
        <v>111</v>
      </c>
      <c r="C19" s="105">
        <v>49171</v>
      </c>
      <c r="D19" s="88" t="s">
        <v>112</v>
      </c>
      <c r="E19" s="105">
        <v>45109</v>
      </c>
      <c r="F19" s="88" t="s">
        <v>113</v>
      </c>
      <c r="G19" s="93" t="s">
        <v>114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spans="2:21" ht="13.8" x14ac:dyDescent="0.25">
      <c r="B20" s="90" t="s">
        <v>115</v>
      </c>
      <c r="C20" s="91">
        <v>60</v>
      </c>
      <c r="D20" s="91" t="s">
        <v>116</v>
      </c>
      <c r="E20" s="104">
        <v>61085</v>
      </c>
      <c r="F20" s="91" t="s">
        <v>117</v>
      </c>
      <c r="G20" s="92" t="s">
        <v>118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</row>
    <row r="21" spans="2:21" ht="13.8" x14ac:dyDescent="0.25">
      <c r="B21" s="90" t="s">
        <v>119</v>
      </c>
      <c r="C21" s="104">
        <v>28155</v>
      </c>
      <c r="D21" s="91" t="s">
        <v>120</v>
      </c>
      <c r="E21" s="104">
        <v>29915</v>
      </c>
      <c r="F21" s="91" t="s">
        <v>121</v>
      </c>
      <c r="G21" s="92" t="s">
        <v>122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</row>
    <row r="22" spans="2:21" ht="13.8" x14ac:dyDescent="0.25">
      <c r="B22" s="89" t="s">
        <v>123</v>
      </c>
      <c r="C22" s="105">
        <v>88155</v>
      </c>
      <c r="D22" s="88" t="s">
        <v>124</v>
      </c>
      <c r="E22" s="88">
        <v>91</v>
      </c>
      <c r="F22" s="88" t="s">
        <v>125</v>
      </c>
      <c r="G22" s="93" t="s">
        <v>28</v>
      </c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</row>
    <row r="23" spans="2:21" ht="13.8" x14ac:dyDescent="0.25">
      <c r="B23" s="90" t="s">
        <v>126</v>
      </c>
      <c r="C23" s="104">
        <v>3645</v>
      </c>
      <c r="D23" s="91" t="s">
        <v>127</v>
      </c>
      <c r="E23" s="104">
        <v>4769</v>
      </c>
      <c r="F23" s="91" t="s">
        <v>128</v>
      </c>
      <c r="G23" s="92" t="s">
        <v>129</v>
      </c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</row>
    <row r="24" spans="2:21" ht="13.8" x14ac:dyDescent="0.25">
      <c r="B24" s="90" t="s">
        <v>130</v>
      </c>
      <c r="C24" s="104">
        <v>7439</v>
      </c>
      <c r="D24" s="91" t="s">
        <v>131</v>
      </c>
      <c r="E24" s="104">
        <v>9086</v>
      </c>
      <c r="F24" s="91" t="s">
        <v>132</v>
      </c>
      <c r="G24" s="92" t="s">
        <v>133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</row>
    <row r="25" spans="2:21" ht="13.8" x14ac:dyDescent="0.25">
      <c r="B25" s="90" t="s">
        <v>134</v>
      </c>
      <c r="C25" s="104">
        <v>13693</v>
      </c>
      <c r="D25" s="91" t="s">
        <v>135</v>
      </c>
      <c r="E25" s="104">
        <v>15821</v>
      </c>
      <c r="F25" s="91" t="s">
        <v>136</v>
      </c>
      <c r="G25" s="92" t="s">
        <v>137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</row>
    <row r="26" spans="2:21" ht="13.8" x14ac:dyDescent="0.25">
      <c r="B26" s="90" t="s">
        <v>138</v>
      </c>
      <c r="C26" s="104">
        <v>24886</v>
      </c>
      <c r="D26" s="91" t="s">
        <v>139</v>
      </c>
      <c r="E26" s="104">
        <v>27123</v>
      </c>
      <c r="F26" s="91" t="s">
        <v>140</v>
      </c>
      <c r="G26" s="92" t="s">
        <v>141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</row>
    <row r="27" spans="2:21" ht="13.8" x14ac:dyDescent="0.25">
      <c r="B27" s="89" t="s">
        <v>142</v>
      </c>
      <c r="C27" s="105">
        <v>49663</v>
      </c>
      <c r="D27" s="88" t="s">
        <v>143</v>
      </c>
      <c r="E27" s="105">
        <v>56799</v>
      </c>
      <c r="F27" s="88" t="s">
        <v>144</v>
      </c>
      <c r="G27" s="93" t="s">
        <v>145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</row>
    <row r="28" spans="2:21" ht="13.8" x14ac:dyDescent="0.25">
      <c r="B28" s="90" t="s">
        <v>146</v>
      </c>
      <c r="C28" s="91">
        <v>150</v>
      </c>
      <c r="D28" s="91" t="s">
        <v>147</v>
      </c>
      <c r="E28" s="104">
        <v>2316</v>
      </c>
      <c r="F28" s="91" t="s">
        <v>148</v>
      </c>
      <c r="G28" s="92" t="s">
        <v>149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</row>
    <row r="29" spans="2:21" ht="13.8" x14ac:dyDescent="0.25">
      <c r="B29" s="89" t="s">
        <v>150</v>
      </c>
      <c r="C29" s="105">
        <v>187139</v>
      </c>
      <c r="D29" s="88" t="s">
        <v>9</v>
      </c>
      <c r="E29" s="105">
        <v>195224</v>
      </c>
      <c r="F29" s="88" t="s">
        <v>9</v>
      </c>
      <c r="G29" s="93" t="s">
        <v>106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</row>
    <row r="30" spans="2:21" ht="13.8" x14ac:dyDescent="0.25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</row>
    <row r="31" spans="2:21" ht="13.8" x14ac:dyDescent="0.25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  <row r="32" spans="2:21" ht="13.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</row>
    <row r="33" spans="2:21" ht="13.8" x14ac:dyDescent="0.25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</row>
    <row r="34" spans="2:21" ht="13.8" x14ac:dyDescent="0.25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2:21" ht="13.8" x14ac:dyDescent="0.25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</row>
    <row r="36" spans="2:21" ht="13.8" x14ac:dyDescent="0.25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</row>
  </sheetData>
  <mergeCells count="4">
    <mergeCell ref="R3:U3"/>
    <mergeCell ref="A1:U1"/>
    <mergeCell ref="B3:G3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6965-59BB-4937-A38F-22B08CA32878}">
  <dimension ref="A1:V36"/>
  <sheetViews>
    <sheetView topLeftCell="B1" zoomScale="79" workbookViewId="0">
      <selection activeCell="I25" sqref="I25"/>
    </sheetView>
  </sheetViews>
  <sheetFormatPr defaultRowHeight="13.2" x14ac:dyDescent="0.25"/>
  <cols>
    <col min="2" max="2" width="41.6640625" bestFit="1" customWidth="1"/>
    <col min="3" max="7" width="9" bestFit="1" customWidth="1"/>
    <col min="10" max="10" width="42" bestFit="1" customWidth="1"/>
    <col min="11" max="14" width="9" bestFit="1" customWidth="1"/>
    <col min="15" max="15" width="9.6640625" bestFit="1" customWidth="1"/>
    <col min="18" max="18" width="45" bestFit="1" customWidth="1"/>
    <col min="19" max="20" width="9" bestFit="1" customWidth="1"/>
    <col min="21" max="21" width="9.6640625" bestFit="1" customWidth="1"/>
  </cols>
  <sheetData>
    <row r="1" spans="1:22" ht="28.2" x14ac:dyDescent="0.5">
      <c r="A1" s="191" t="s">
        <v>151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22" ht="13.8" x14ac:dyDescent="0.25"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</row>
    <row r="3" spans="1:22" ht="17.399999999999999" x14ac:dyDescent="0.3">
      <c r="B3" s="193" t="s">
        <v>1</v>
      </c>
      <c r="C3" s="194"/>
      <c r="D3" s="194"/>
      <c r="E3" s="194"/>
      <c r="F3" s="194"/>
      <c r="G3" s="195"/>
      <c r="H3" s="85"/>
      <c r="I3" s="85"/>
      <c r="J3" s="193" t="s">
        <v>2</v>
      </c>
      <c r="K3" s="194"/>
      <c r="L3" s="194"/>
      <c r="M3" s="194"/>
      <c r="N3" s="194"/>
      <c r="O3" s="195"/>
      <c r="P3" s="85"/>
      <c r="Q3" s="85"/>
      <c r="R3" s="193" t="s">
        <v>3</v>
      </c>
      <c r="S3" s="194"/>
      <c r="T3" s="194"/>
      <c r="U3" s="194"/>
    </row>
    <row r="4" spans="1:22" ht="14.4" x14ac:dyDescent="0.3">
      <c r="A4" s="87"/>
      <c r="B4" s="112" t="s">
        <v>4</v>
      </c>
      <c r="C4" s="113">
        <v>2024</v>
      </c>
      <c r="D4" s="113" t="s">
        <v>5</v>
      </c>
      <c r="E4" s="113">
        <v>2023</v>
      </c>
      <c r="F4" s="113" t="s">
        <v>5</v>
      </c>
      <c r="G4" s="114" t="s">
        <v>6</v>
      </c>
      <c r="H4" s="115"/>
      <c r="I4" s="115"/>
      <c r="J4" s="112" t="s">
        <v>4</v>
      </c>
      <c r="K4" s="113">
        <v>2024</v>
      </c>
      <c r="L4" s="113" t="s">
        <v>5</v>
      </c>
      <c r="M4" s="113">
        <v>2023</v>
      </c>
      <c r="N4" s="113" t="s">
        <v>5</v>
      </c>
      <c r="O4" s="114" t="s">
        <v>6</v>
      </c>
      <c r="P4" s="115"/>
      <c r="Q4" s="115"/>
      <c r="R4" s="112" t="s">
        <v>4</v>
      </c>
      <c r="S4" s="113">
        <v>2024</v>
      </c>
      <c r="T4" s="113">
        <v>2023</v>
      </c>
      <c r="U4" s="114" t="s">
        <v>6</v>
      </c>
      <c r="V4" s="116"/>
    </row>
    <row r="5" spans="1:22" ht="13.8" x14ac:dyDescent="0.25">
      <c r="B5" s="117" t="s">
        <v>7</v>
      </c>
      <c r="C5" s="118"/>
      <c r="D5" s="118"/>
      <c r="E5" s="118"/>
      <c r="F5" s="118"/>
      <c r="G5" s="118"/>
      <c r="H5" s="116"/>
      <c r="I5" s="116"/>
      <c r="J5" s="117" t="s">
        <v>233</v>
      </c>
      <c r="K5" s="119">
        <v>44739</v>
      </c>
      <c r="L5" s="120">
        <v>1</v>
      </c>
      <c r="M5" s="119">
        <v>49335</v>
      </c>
      <c r="N5" s="120">
        <v>1</v>
      </c>
      <c r="O5" s="121">
        <v>-9.2999999999999999E-2</v>
      </c>
      <c r="P5" s="116"/>
      <c r="Q5" s="116"/>
      <c r="R5" s="117" t="s">
        <v>234</v>
      </c>
      <c r="S5" s="122">
        <v>8117</v>
      </c>
      <c r="T5" s="122">
        <v>7025</v>
      </c>
      <c r="U5" s="123">
        <v>0.155</v>
      </c>
      <c r="V5" s="116"/>
    </row>
    <row r="6" spans="1:22" ht="13.8" x14ac:dyDescent="0.25">
      <c r="B6" s="124" t="s">
        <v>13</v>
      </c>
      <c r="C6" s="125">
        <v>94461</v>
      </c>
      <c r="D6" s="126">
        <v>0.59699999999999998</v>
      </c>
      <c r="E6" s="125">
        <v>87821</v>
      </c>
      <c r="F6" s="126">
        <v>0.58499999999999996</v>
      </c>
      <c r="G6" s="126">
        <v>7.5999999999999998E-2</v>
      </c>
      <c r="H6" s="116"/>
      <c r="I6" s="116"/>
      <c r="J6" s="124" t="s">
        <v>215</v>
      </c>
      <c r="K6" s="125">
        <v>-20863</v>
      </c>
      <c r="L6" s="126">
        <v>-0.46600000000000003</v>
      </c>
      <c r="M6" s="125">
        <v>-26033</v>
      </c>
      <c r="N6" s="126">
        <v>-0.52800000000000002</v>
      </c>
      <c r="O6" s="126">
        <v>-0.19900000000000001</v>
      </c>
      <c r="P6" s="116"/>
      <c r="Q6" s="116"/>
      <c r="R6" s="124" t="s">
        <v>224</v>
      </c>
      <c r="S6" s="127">
        <v>7412</v>
      </c>
      <c r="T6" s="127">
        <v>5810</v>
      </c>
      <c r="U6" s="128">
        <v>0.27600000000000002</v>
      </c>
      <c r="V6" s="116"/>
    </row>
    <row r="7" spans="1:22" ht="13.8" x14ac:dyDescent="0.25">
      <c r="B7" s="124" t="s">
        <v>22</v>
      </c>
      <c r="C7" s="125">
        <v>20255</v>
      </c>
      <c r="D7" s="126">
        <v>0.128</v>
      </c>
      <c r="E7" s="125">
        <v>20255</v>
      </c>
      <c r="F7" s="126">
        <v>0.13500000000000001</v>
      </c>
      <c r="G7" s="126">
        <v>0</v>
      </c>
      <c r="H7" s="116"/>
      <c r="I7" s="116"/>
      <c r="J7" s="124" t="s">
        <v>216</v>
      </c>
      <c r="K7" s="125">
        <v>-3941</v>
      </c>
      <c r="L7" s="126">
        <v>-8.7999999999999995E-2</v>
      </c>
      <c r="M7" s="125">
        <v>-3824</v>
      </c>
      <c r="N7" s="126">
        <v>-7.8E-2</v>
      </c>
      <c r="O7" s="126">
        <v>3.1E-2</v>
      </c>
      <c r="P7" s="116"/>
      <c r="Q7" s="116"/>
      <c r="R7" s="117" t="s">
        <v>225</v>
      </c>
      <c r="S7" s="124"/>
      <c r="T7" s="124"/>
      <c r="U7" s="124"/>
      <c r="V7" s="116"/>
    </row>
    <row r="8" spans="1:22" ht="14.4" x14ac:dyDescent="0.3">
      <c r="B8" s="124" t="s">
        <v>200</v>
      </c>
      <c r="C8" s="125">
        <v>7499</v>
      </c>
      <c r="D8" s="126">
        <v>4.7E-2</v>
      </c>
      <c r="E8" s="125">
        <v>7208</v>
      </c>
      <c r="F8" s="126">
        <v>4.8000000000000001E-2</v>
      </c>
      <c r="G8" s="126">
        <v>0.04</v>
      </c>
      <c r="H8" s="116"/>
      <c r="I8" s="116"/>
      <c r="J8" s="124" t="s">
        <v>217</v>
      </c>
      <c r="K8" s="125">
        <v>-4462</v>
      </c>
      <c r="L8" s="126">
        <v>-0.1</v>
      </c>
      <c r="M8" s="125">
        <v>-6136</v>
      </c>
      <c r="N8" s="126">
        <v>-0.124</v>
      </c>
      <c r="O8" s="126">
        <v>-0.27300000000000002</v>
      </c>
      <c r="P8" s="116"/>
      <c r="Q8" s="116"/>
      <c r="R8" s="129" t="s">
        <v>235</v>
      </c>
      <c r="S8" s="130">
        <v>-1760</v>
      </c>
      <c r="T8" s="129">
        <v>314</v>
      </c>
      <c r="U8" s="128">
        <v>-6.6000000000000003E-2</v>
      </c>
      <c r="V8" s="116"/>
    </row>
    <row r="9" spans="1:22" ht="14.4" x14ac:dyDescent="0.3">
      <c r="B9" s="117" t="s">
        <v>49</v>
      </c>
      <c r="C9" s="119">
        <v>137458</v>
      </c>
      <c r="D9" s="121">
        <v>0.86799999999999999</v>
      </c>
      <c r="E9" s="119">
        <v>126970</v>
      </c>
      <c r="F9" s="121">
        <v>0.84599999999999997</v>
      </c>
      <c r="G9" s="121">
        <v>8.3000000000000004E-2</v>
      </c>
      <c r="H9" s="116"/>
      <c r="I9" s="116"/>
      <c r="J9" s="124" t="s">
        <v>218</v>
      </c>
      <c r="K9" s="125">
        <v>-2566</v>
      </c>
      <c r="L9" s="126">
        <v>-5.7000000000000002E-2</v>
      </c>
      <c r="M9" s="125">
        <v>-2749</v>
      </c>
      <c r="N9" s="126">
        <v>-5.6000000000000001E-2</v>
      </c>
      <c r="O9" s="126">
        <v>-6.7000000000000004E-2</v>
      </c>
      <c r="P9" s="116"/>
      <c r="Q9" s="116"/>
      <c r="R9" s="129" t="s">
        <v>236</v>
      </c>
      <c r="S9" s="130">
        <v>1262</v>
      </c>
      <c r="T9" s="129">
        <v>-517</v>
      </c>
      <c r="U9" s="128">
        <v>-3.44E-2</v>
      </c>
      <c r="V9" s="116"/>
    </row>
    <row r="10" spans="1:22" ht="13.8" x14ac:dyDescent="0.25">
      <c r="B10" s="124" t="s">
        <v>209</v>
      </c>
      <c r="C10" s="125">
        <v>9162</v>
      </c>
      <c r="D10" s="126">
        <v>5.8000000000000003E-2</v>
      </c>
      <c r="E10" s="125">
        <v>8906</v>
      </c>
      <c r="F10" s="126">
        <v>5.8999999999999997E-2</v>
      </c>
      <c r="G10" s="126">
        <v>2.9000000000000001E-2</v>
      </c>
      <c r="H10" s="116"/>
      <c r="I10" s="116"/>
      <c r="J10" s="117" t="s">
        <v>237</v>
      </c>
      <c r="K10" s="119">
        <v>16848</v>
      </c>
      <c r="L10" s="121">
        <v>0.377</v>
      </c>
      <c r="M10" s="119">
        <v>14417</v>
      </c>
      <c r="N10" s="121">
        <v>0.29199999999999998</v>
      </c>
      <c r="O10" s="121">
        <v>0.16900000000000001</v>
      </c>
      <c r="P10" s="116"/>
      <c r="Q10" s="116"/>
      <c r="R10" s="117" t="s">
        <v>238</v>
      </c>
      <c r="S10" s="122">
        <v>11925</v>
      </c>
      <c r="T10" s="122">
        <v>12130</v>
      </c>
      <c r="U10" s="123">
        <v>-1.7000000000000001E-2</v>
      </c>
      <c r="V10" s="116"/>
    </row>
    <row r="11" spans="1:22" ht="13.8" x14ac:dyDescent="0.25">
      <c r="B11" s="124" t="s">
        <v>67</v>
      </c>
      <c r="C11" s="125">
        <v>4082</v>
      </c>
      <c r="D11" s="126">
        <v>2.5999999999999999E-2</v>
      </c>
      <c r="E11" s="125">
        <v>3019</v>
      </c>
      <c r="F11" s="126">
        <v>0.02</v>
      </c>
      <c r="G11" s="126">
        <v>0.35199999999999998</v>
      </c>
      <c r="H11" s="116"/>
      <c r="I11" s="116"/>
      <c r="J11" s="124" t="s">
        <v>219</v>
      </c>
      <c r="K11" s="125">
        <v>-6648</v>
      </c>
      <c r="L11" s="126">
        <v>-0.14899999999999999</v>
      </c>
      <c r="M11" s="125">
        <v>-4826</v>
      </c>
      <c r="N11" s="126">
        <v>-9.8000000000000004E-2</v>
      </c>
      <c r="O11" s="126">
        <v>0.378</v>
      </c>
      <c r="P11" s="116"/>
      <c r="Q11" s="116"/>
      <c r="R11" s="124" t="s">
        <v>226</v>
      </c>
      <c r="S11" s="124">
        <v>-710</v>
      </c>
      <c r="T11" s="124">
        <v>-541</v>
      </c>
      <c r="U11" s="128">
        <v>0.312</v>
      </c>
      <c r="V11" s="116"/>
    </row>
    <row r="12" spans="1:22" ht="13.8" x14ac:dyDescent="0.25">
      <c r="B12" s="124" t="s">
        <v>210</v>
      </c>
      <c r="C12" s="125">
        <v>2987</v>
      </c>
      <c r="D12" s="126">
        <v>1.9E-2</v>
      </c>
      <c r="E12" s="125">
        <v>2550</v>
      </c>
      <c r="F12" s="126">
        <v>1.7000000000000001E-2</v>
      </c>
      <c r="G12" s="126">
        <v>0.17100000000000001</v>
      </c>
      <c r="H12" s="116"/>
      <c r="I12" s="116"/>
      <c r="J12" s="117" t="s">
        <v>239</v>
      </c>
      <c r="K12" s="119">
        <v>9729</v>
      </c>
      <c r="L12" s="121">
        <v>0.217</v>
      </c>
      <c r="M12" s="119">
        <v>8973</v>
      </c>
      <c r="N12" s="121">
        <v>0.182</v>
      </c>
      <c r="O12" s="121">
        <v>8.4000000000000005E-2</v>
      </c>
      <c r="P12" s="116"/>
      <c r="Q12" s="116"/>
      <c r="R12" s="124" t="s">
        <v>227</v>
      </c>
      <c r="S12" s="127">
        <v>-7665</v>
      </c>
      <c r="T12" s="127">
        <v>-7336</v>
      </c>
      <c r="U12" s="128">
        <v>4.4999999999999998E-2</v>
      </c>
      <c r="V12" s="116"/>
    </row>
    <row r="13" spans="1:22" ht="13.8" x14ac:dyDescent="0.25">
      <c r="B13" s="124" t="s">
        <v>97</v>
      </c>
      <c r="C13" s="118">
        <v>404</v>
      </c>
      <c r="D13" s="126">
        <v>3.0000000000000001E-3</v>
      </c>
      <c r="E13" s="125">
        <v>4720</v>
      </c>
      <c r="F13" s="126">
        <v>3.1E-2</v>
      </c>
      <c r="G13" s="126">
        <v>-0.91400000000000003</v>
      </c>
      <c r="H13" s="116"/>
      <c r="I13" s="116"/>
      <c r="J13" s="124" t="s">
        <v>220</v>
      </c>
      <c r="K13" s="125">
        <v>-1575</v>
      </c>
      <c r="L13" s="126">
        <v>-3.5000000000000003E-2</v>
      </c>
      <c r="M13" s="125">
        <v>-2187</v>
      </c>
      <c r="N13" s="126">
        <v>-4.3999999999999997E-2</v>
      </c>
      <c r="O13" s="126">
        <v>-0.28000000000000003</v>
      </c>
      <c r="P13" s="116"/>
      <c r="Q13" s="116"/>
      <c r="R13" s="124" t="s">
        <v>228</v>
      </c>
      <c r="S13" s="127">
        <v>5680</v>
      </c>
      <c r="T13" s="124">
        <v>206</v>
      </c>
      <c r="U13" s="131">
        <v>26.57</v>
      </c>
      <c r="V13" s="116"/>
    </row>
    <row r="14" spans="1:22" ht="13.8" x14ac:dyDescent="0.25">
      <c r="B14" s="117" t="s">
        <v>87</v>
      </c>
      <c r="C14" s="119">
        <v>20835</v>
      </c>
      <c r="D14" s="121">
        <v>0.13200000000000001</v>
      </c>
      <c r="E14" s="119">
        <v>23063</v>
      </c>
      <c r="F14" s="121">
        <v>0.154</v>
      </c>
      <c r="G14" s="121">
        <v>-9.7000000000000003E-2</v>
      </c>
      <c r="H14" s="116"/>
      <c r="I14" s="116"/>
      <c r="J14" s="124" t="s">
        <v>221</v>
      </c>
      <c r="K14" s="118">
        <v>-37</v>
      </c>
      <c r="L14" s="126">
        <v>-1E-3</v>
      </c>
      <c r="M14" s="118">
        <v>239</v>
      </c>
      <c r="N14" s="126">
        <v>5.0000000000000001E-3</v>
      </c>
      <c r="O14" s="126">
        <v>-1.155</v>
      </c>
      <c r="P14" s="116"/>
      <c r="Q14" s="116"/>
      <c r="R14" s="117" t="s">
        <v>240</v>
      </c>
      <c r="S14" s="122">
        <v>-8397</v>
      </c>
      <c r="T14" s="122">
        <v>-9693</v>
      </c>
      <c r="U14" s="123">
        <v>-0.13400000000000001</v>
      </c>
      <c r="V14" s="116"/>
    </row>
    <row r="15" spans="1:22" ht="13.8" x14ac:dyDescent="0.25">
      <c r="B15" s="117" t="s">
        <v>241</v>
      </c>
      <c r="C15" s="119">
        <v>158293</v>
      </c>
      <c r="D15" s="120">
        <v>1</v>
      </c>
      <c r="E15" s="119">
        <v>150033</v>
      </c>
      <c r="F15" s="120">
        <v>1</v>
      </c>
      <c r="G15" s="121">
        <v>5.5E-2</v>
      </c>
      <c r="H15" s="116"/>
      <c r="I15" s="116"/>
      <c r="J15" s="117" t="s">
        <v>242</v>
      </c>
      <c r="K15" s="119">
        <v>8117</v>
      </c>
      <c r="L15" s="121">
        <v>0.18099999999999999</v>
      </c>
      <c r="M15" s="119">
        <v>7025</v>
      </c>
      <c r="N15" s="121">
        <v>0.14199999999999999</v>
      </c>
      <c r="O15" s="121">
        <v>0.155</v>
      </c>
      <c r="P15" s="116"/>
      <c r="Q15" s="116"/>
      <c r="R15" s="124" t="s">
        <v>229</v>
      </c>
      <c r="S15" s="127">
        <v>-1625</v>
      </c>
      <c r="T15" s="127">
        <v>-1879</v>
      </c>
      <c r="U15" s="128">
        <v>-0.13500000000000001</v>
      </c>
      <c r="V15" s="116"/>
    </row>
    <row r="16" spans="1:22" ht="13.8" x14ac:dyDescent="0.25">
      <c r="B16" s="117"/>
      <c r="C16" s="132"/>
      <c r="D16" s="132"/>
      <c r="E16" s="132"/>
      <c r="F16" s="132"/>
      <c r="G16" s="133"/>
      <c r="H16" s="116"/>
      <c r="I16" s="116"/>
      <c r="J16" s="124" t="s">
        <v>222</v>
      </c>
      <c r="K16" s="125">
        <v>-2150</v>
      </c>
      <c r="L16" s="126">
        <v>-4.8000000000000001E-2</v>
      </c>
      <c r="M16" s="125">
        <v>-1610</v>
      </c>
      <c r="N16" s="126">
        <v>-3.3000000000000002E-2</v>
      </c>
      <c r="O16" s="126">
        <v>0.33500000000000002</v>
      </c>
      <c r="P16" s="116"/>
      <c r="Q16" s="116"/>
      <c r="R16" s="124" t="s">
        <v>231</v>
      </c>
      <c r="S16" s="127">
        <v>17541</v>
      </c>
      <c r="T16" s="127">
        <v>10662</v>
      </c>
      <c r="U16" s="128">
        <v>0.64500000000000002</v>
      </c>
      <c r="V16" s="116"/>
    </row>
    <row r="17" spans="2:22" ht="13.8" x14ac:dyDescent="0.25">
      <c r="B17" s="117" t="s">
        <v>110</v>
      </c>
      <c r="C17" s="118"/>
      <c r="D17" s="118"/>
      <c r="E17" s="118"/>
      <c r="F17" s="118"/>
      <c r="G17" s="118"/>
      <c r="H17" s="116"/>
      <c r="I17" s="116"/>
      <c r="J17" s="117" t="s">
        <v>223</v>
      </c>
      <c r="K17" s="119">
        <v>5612</v>
      </c>
      <c r="L17" s="121">
        <v>0.125</v>
      </c>
      <c r="M17" s="119">
        <v>4803</v>
      </c>
      <c r="N17" s="121">
        <v>9.7000000000000003E-2</v>
      </c>
      <c r="O17" s="121">
        <v>0.16800000000000001</v>
      </c>
      <c r="P17" s="116"/>
      <c r="Q17" s="116"/>
      <c r="R17" s="124" t="s">
        <v>230</v>
      </c>
      <c r="S17" s="127">
        <v>-12418</v>
      </c>
      <c r="T17" s="127">
        <v>-8197</v>
      </c>
      <c r="U17" s="128">
        <v>0.51500000000000001</v>
      </c>
      <c r="V17" s="116"/>
    </row>
    <row r="18" spans="2:22" ht="13.8" x14ac:dyDescent="0.25">
      <c r="B18" s="117" t="s">
        <v>111</v>
      </c>
      <c r="C18" s="119">
        <v>61051</v>
      </c>
      <c r="D18" s="121">
        <v>0.38600000000000001</v>
      </c>
      <c r="E18" s="119">
        <v>60292</v>
      </c>
      <c r="F18" s="121">
        <v>0.40200000000000002</v>
      </c>
      <c r="G18" s="121">
        <v>1.2999999999999999E-2</v>
      </c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7" t="s">
        <v>243</v>
      </c>
      <c r="S18" s="122">
        <v>-2267</v>
      </c>
      <c r="T18" s="122">
        <v>-4088</v>
      </c>
      <c r="U18" s="123">
        <v>-0.44500000000000001</v>
      </c>
      <c r="V18" s="116"/>
    </row>
    <row r="19" spans="2:22" ht="13.8" x14ac:dyDescent="0.25">
      <c r="B19" s="124" t="s">
        <v>211</v>
      </c>
      <c r="C19" s="125">
        <v>46094</v>
      </c>
      <c r="D19" s="126">
        <v>0.29099999999999998</v>
      </c>
      <c r="E19" s="125">
        <v>41775</v>
      </c>
      <c r="F19" s="126">
        <v>0.27800000000000002</v>
      </c>
      <c r="G19" s="126">
        <v>0.10299999999999999</v>
      </c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24" t="s">
        <v>232</v>
      </c>
      <c r="S19" s="124">
        <v>-198</v>
      </c>
      <c r="T19" s="124">
        <v>62</v>
      </c>
      <c r="U19" s="128">
        <v>-4.194</v>
      </c>
      <c r="V19" s="116"/>
    </row>
    <row r="20" spans="2:22" ht="13.8" x14ac:dyDescent="0.25">
      <c r="B20" s="124" t="s">
        <v>212</v>
      </c>
      <c r="C20" s="125">
        <v>7545</v>
      </c>
      <c r="D20" s="126">
        <v>4.8000000000000001E-2</v>
      </c>
      <c r="E20" s="125">
        <v>7379</v>
      </c>
      <c r="F20" s="126">
        <v>4.9000000000000002E-2</v>
      </c>
      <c r="G20" s="126">
        <v>2.1999999999999999E-2</v>
      </c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7" t="s">
        <v>244</v>
      </c>
      <c r="S20" s="122">
        <v>1063</v>
      </c>
      <c r="T20" s="122">
        <v>-1589</v>
      </c>
      <c r="U20" s="123">
        <v>-1.66E-2</v>
      </c>
    </row>
    <row r="21" spans="2:22" ht="13.8" x14ac:dyDescent="0.25">
      <c r="B21" s="117" t="s">
        <v>245</v>
      </c>
      <c r="C21" s="119">
        <v>67103</v>
      </c>
      <c r="D21" s="121">
        <v>0.42399999999999999</v>
      </c>
      <c r="E21" s="119">
        <v>61669</v>
      </c>
      <c r="F21" s="121">
        <v>0.41099999999999998</v>
      </c>
      <c r="G21" s="121">
        <v>8.7999999999999995E-2</v>
      </c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</row>
    <row r="22" spans="2:22" ht="13.8" x14ac:dyDescent="0.25">
      <c r="B22" s="124" t="s">
        <v>213</v>
      </c>
      <c r="C22" s="125">
        <v>25528</v>
      </c>
      <c r="D22" s="126">
        <v>0.161</v>
      </c>
      <c r="E22" s="125">
        <v>23120</v>
      </c>
      <c r="F22" s="126">
        <v>0.154</v>
      </c>
      <c r="G22" s="126">
        <v>0.104</v>
      </c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</row>
    <row r="23" spans="2:22" ht="13.8" x14ac:dyDescent="0.25">
      <c r="B23" s="124" t="s">
        <v>214</v>
      </c>
      <c r="C23" s="125">
        <v>6183</v>
      </c>
      <c r="D23" s="126">
        <v>3.9E-2</v>
      </c>
      <c r="E23" s="125">
        <v>5112</v>
      </c>
      <c r="F23" s="126">
        <v>3.4000000000000002E-2</v>
      </c>
      <c r="G23" s="126">
        <v>0.20899999999999999</v>
      </c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</row>
    <row r="24" spans="2:22" ht="13.8" x14ac:dyDescent="0.25">
      <c r="B24" s="117" t="s">
        <v>246</v>
      </c>
      <c r="C24" s="119">
        <v>30139</v>
      </c>
      <c r="D24" s="121">
        <v>0.19</v>
      </c>
      <c r="E24" s="119">
        <v>28072</v>
      </c>
      <c r="F24" s="121">
        <v>0.187</v>
      </c>
      <c r="G24" s="121">
        <v>7.3999999999999996E-2</v>
      </c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</row>
    <row r="25" spans="2:22" ht="13.8" x14ac:dyDescent="0.25">
      <c r="B25" s="117" t="s">
        <v>247</v>
      </c>
      <c r="C25" s="119">
        <v>158293</v>
      </c>
      <c r="D25" s="120">
        <v>1</v>
      </c>
      <c r="E25" s="119">
        <v>150033</v>
      </c>
      <c r="F25" s="120">
        <v>1</v>
      </c>
      <c r="G25" s="121">
        <v>5.5E-2</v>
      </c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</row>
    <row r="26" spans="2:22" ht="13.8" x14ac:dyDescent="0.25"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</row>
    <row r="27" spans="2:22" ht="13.8" x14ac:dyDescent="0.25">
      <c r="B27" s="134"/>
      <c r="C27" s="135"/>
      <c r="D27" s="135"/>
      <c r="E27" s="135"/>
      <c r="F27" s="135"/>
      <c r="G27" s="13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</row>
    <row r="28" spans="2:22" ht="13.8" x14ac:dyDescent="0.25">
      <c r="B28" s="109"/>
      <c r="C28" s="110"/>
      <c r="D28" s="110"/>
      <c r="E28" s="110"/>
      <c r="F28" s="110"/>
      <c r="G28" s="111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</row>
    <row r="29" spans="2:22" ht="13.8" x14ac:dyDescent="0.25">
      <c r="B29" s="106"/>
      <c r="C29" s="107"/>
      <c r="D29" s="107"/>
      <c r="E29" s="107"/>
      <c r="F29" s="107"/>
      <c r="G29" s="108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</row>
    <row r="30" spans="2:22" ht="13.8" x14ac:dyDescent="0.25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</row>
    <row r="31" spans="2:22" ht="13.8" x14ac:dyDescent="0.25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  <row r="32" spans="2:22" ht="13.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</row>
    <row r="33" spans="2:21" ht="13.8" x14ac:dyDescent="0.25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</row>
    <row r="34" spans="2:21" ht="13.8" x14ac:dyDescent="0.25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2:21" ht="13.8" x14ac:dyDescent="0.25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</row>
    <row r="36" spans="2:21" ht="13.8" x14ac:dyDescent="0.25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</row>
  </sheetData>
  <mergeCells count="4">
    <mergeCell ref="A1:U1"/>
    <mergeCell ref="B3:G3"/>
    <mergeCell ref="J3:O3"/>
    <mergeCell ref="R3:U3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U1002"/>
  <sheetViews>
    <sheetView zoomScale="50" zoomScaleNormal="78" workbookViewId="0">
      <selection activeCell="N42" sqref="N42"/>
    </sheetView>
  </sheetViews>
  <sheetFormatPr defaultColWidth="12.6640625" defaultRowHeight="15.75" customHeight="1" x14ac:dyDescent="0.25"/>
  <cols>
    <col min="2" max="2" width="29.88671875" customWidth="1"/>
    <col min="7" max="7" width="29.33203125" customWidth="1"/>
    <col min="9" max="9" width="12.6640625" style="20"/>
    <col min="11" max="11" width="12.6640625" style="20"/>
    <col min="12" max="12" width="28" bestFit="1" customWidth="1"/>
    <col min="13" max="13" width="14.6640625" customWidth="1"/>
    <col min="19" max="19" width="18.44140625" bestFit="1" customWidth="1"/>
  </cols>
  <sheetData>
    <row r="1" spans="2:21" ht="13.2" x14ac:dyDescent="0.25">
      <c r="B1" s="2"/>
    </row>
    <row r="2" spans="2:21" ht="13.2" x14ac:dyDescent="0.25">
      <c r="B2" s="196" t="s">
        <v>0</v>
      </c>
      <c r="C2" s="197"/>
      <c r="D2" s="198"/>
      <c r="N2" s="20"/>
      <c r="P2" s="20"/>
    </row>
    <row r="3" spans="2:21" ht="13.2" x14ac:dyDescent="0.25">
      <c r="B3" s="53" t="s">
        <v>4</v>
      </c>
      <c r="C3" s="51">
        <v>2024</v>
      </c>
      <c r="D3" s="50">
        <v>2023</v>
      </c>
      <c r="L3" s="3" t="s">
        <v>4</v>
      </c>
      <c r="M3" s="10">
        <v>2024</v>
      </c>
      <c r="N3" s="10">
        <v>2024</v>
      </c>
      <c r="O3" s="29">
        <v>2023</v>
      </c>
      <c r="P3" s="10">
        <v>2023</v>
      </c>
      <c r="T3" s="20"/>
      <c r="U3" s="20"/>
    </row>
    <row r="4" spans="2:21" ht="13.2" x14ac:dyDescent="0.25">
      <c r="B4" s="52" t="s">
        <v>7</v>
      </c>
      <c r="C4" s="7"/>
      <c r="D4" s="17"/>
      <c r="L4" s="11" t="s">
        <v>7</v>
      </c>
      <c r="M4" s="32"/>
      <c r="N4" s="31"/>
      <c r="O4" s="28"/>
      <c r="P4" s="30"/>
      <c r="S4" s="3"/>
      <c r="T4" s="10">
        <v>2024</v>
      </c>
      <c r="U4" s="10">
        <v>2023</v>
      </c>
    </row>
    <row r="5" spans="2:21" ht="13.2" x14ac:dyDescent="0.25">
      <c r="B5" s="12" t="s">
        <v>152</v>
      </c>
      <c r="C5" s="57">
        <v>145852</v>
      </c>
      <c r="D5" s="47">
        <v>144689</v>
      </c>
      <c r="L5" s="12" t="s">
        <v>152</v>
      </c>
      <c r="M5" s="37">
        <v>145852</v>
      </c>
      <c r="N5" s="21">
        <f>(M5*N7)/M7</f>
        <v>0.77937789557494697</v>
      </c>
      <c r="O5" s="37">
        <v>144689</v>
      </c>
      <c r="P5" s="21">
        <f>(O5/$P$7)/$O$7</f>
        <v>0.74114350694586728</v>
      </c>
      <c r="S5" s="12" t="s">
        <v>152</v>
      </c>
      <c r="T5" s="21">
        <v>0.77937789557494697</v>
      </c>
      <c r="U5" s="21">
        <v>0.74114350694586728</v>
      </c>
    </row>
    <row r="6" spans="2:21" ht="13.2" x14ac:dyDescent="0.25">
      <c r="B6" s="13" t="s">
        <v>153</v>
      </c>
      <c r="C6" s="58">
        <v>40872</v>
      </c>
      <c r="D6" s="44">
        <v>44616</v>
      </c>
      <c r="L6" s="13" t="s">
        <v>153</v>
      </c>
      <c r="M6" s="38">
        <v>40872</v>
      </c>
      <c r="N6" s="21">
        <f>(M6*N7)/M7</f>
        <v>0.21840450146682414</v>
      </c>
      <c r="O6" s="38">
        <v>44616</v>
      </c>
      <c r="P6" s="21">
        <f>(O6/$P$7)/$O$7</f>
        <v>0.22853747490062698</v>
      </c>
      <c r="S6" s="13" t="s">
        <v>153</v>
      </c>
      <c r="T6" s="21">
        <v>0.21840450146682414</v>
      </c>
      <c r="U6" s="21">
        <v>0.22853747490062698</v>
      </c>
    </row>
    <row r="7" spans="2:21" ht="13.2" x14ac:dyDescent="0.25">
      <c r="B7" s="19" t="s">
        <v>105</v>
      </c>
      <c r="C7" s="45">
        <v>187139</v>
      </c>
      <c r="D7" s="62">
        <v>195224</v>
      </c>
      <c r="L7" s="19" t="s">
        <v>105</v>
      </c>
      <c r="M7" s="43">
        <v>187139</v>
      </c>
      <c r="N7" s="26">
        <v>1</v>
      </c>
      <c r="O7" s="43">
        <v>195224</v>
      </c>
      <c r="P7" s="26">
        <f>1</f>
        <v>1</v>
      </c>
      <c r="S7" s="15" t="s">
        <v>154</v>
      </c>
      <c r="T7" s="27">
        <v>0.26275121700981624</v>
      </c>
      <c r="U7" s="23">
        <v>0.23106277916649592</v>
      </c>
    </row>
    <row r="8" spans="2:21" ht="13.2" x14ac:dyDescent="0.25">
      <c r="B8" s="65" t="s">
        <v>110</v>
      </c>
      <c r="C8" s="7"/>
      <c r="D8" s="17"/>
      <c r="L8" s="14" t="s">
        <v>110</v>
      </c>
      <c r="M8" s="7"/>
      <c r="N8" s="33"/>
      <c r="O8" s="7"/>
      <c r="P8" s="22"/>
      <c r="S8" s="13" t="s">
        <v>155</v>
      </c>
      <c r="T8" s="21">
        <v>0.47106696092209532</v>
      </c>
      <c r="U8" s="21">
        <v>0.46613121337540464</v>
      </c>
    </row>
    <row r="9" spans="2:21" ht="13.2" x14ac:dyDescent="0.25">
      <c r="B9" s="15" t="s">
        <v>154</v>
      </c>
      <c r="C9" s="59">
        <v>49171</v>
      </c>
      <c r="D9" s="40">
        <v>45109</v>
      </c>
      <c r="L9" s="15" t="s">
        <v>154</v>
      </c>
      <c r="M9" s="41">
        <v>49171</v>
      </c>
      <c r="N9" s="27">
        <f>(M9/$N$13)/$M$13</f>
        <v>0.26275121700981624</v>
      </c>
      <c r="O9" s="41">
        <v>45109</v>
      </c>
      <c r="P9" s="23">
        <f>(O9/$P$13)/$O$13</f>
        <v>0.23106277916649592</v>
      </c>
      <c r="S9" s="16" t="s">
        <v>156</v>
      </c>
      <c r="T9" s="34">
        <v>0.26538027883017434</v>
      </c>
      <c r="U9" s="24">
        <v>0.29094271196164406</v>
      </c>
    </row>
    <row r="10" spans="2:21" ht="13.2" x14ac:dyDescent="0.25">
      <c r="B10" s="13" t="s">
        <v>155</v>
      </c>
      <c r="C10" s="58">
        <v>88155</v>
      </c>
      <c r="D10" s="44">
        <v>91000</v>
      </c>
      <c r="L10" s="13" t="s">
        <v>155</v>
      </c>
      <c r="M10" s="38">
        <v>88155</v>
      </c>
      <c r="N10" s="21">
        <f>(M10/$N$13)/$M$13</f>
        <v>0.47106696092209532</v>
      </c>
      <c r="O10" s="38">
        <v>91000</v>
      </c>
      <c r="P10" s="21">
        <f>(O10/$P$13)/$O$13</f>
        <v>0.46613121337540464</v>
      </c>
    </row>
    <row r="11" spans="2:21" ht="13.2" x14ac:dyDescent="0.25">
      <c r="B11" s="16" t="s">
        <v>156</v>
      </c>
      <c r="C11" s="60">
        <v>49663</v>
      </c>
      <c r="D11" s="46">
        <v>56799</v>
      </c>
      <c r="L11" s="16" t="s">
        <v>156</v>
      </c>
      <c r="M11" s="39">
        <v>49663</v>
      </c>
      <c r="N11" s="21">
        <f>(M11/$N$13)/$M$13</f>
        <v>0.26538027883017434</v>
      </c>
      <c r="O11" s="39">
        <v>56799</v>
      </c>
      <c r="P11" s="24">
        <f>(O11/$P$13)/$O$13</f>
        <v>0.29094271196164406</v>
      </c>
    </row>
    <row r="12" spans="2:21" ht="13.2" x14ac:dyDescent="0.25">
      <c r="B12" s="18" t="s">
        <v>157</v>
      </c>
      <c r="C12" s="61">
        <v>137968</v>
      </c>
      <c r="D12" s="48">
        <v>150115</v>
      </c>
      <c r="L12" s="18" t="s">
        <v>157</v>
      </c>
      <c r="M12" s="42">
        <v>137968</v>
      </c>
      <c r="N12" s="27">
        <f>(M12/$N$13)/$M$13</f>
        <v>0.73724878299018382</v>
      </c>
      <c r="O12" s="42">
        <v>150115</v>
      </c>
      <c r="P12" s="25">
        <f>(O12/$P$13)/$O$13</f>
        <v>0.76893722083350413</v>
      </c>
    </row>
    <row r="13" spans="2:21" ht="13.2" x14ac:dyDescent="0.25">
      <c r="B13" s="19" t="s">
        <v>150</v>
      </c>
      <c r="C13" s="63">
        <v>187139</v>
      </c>
      <c r="D13" s="64">
        <v>195224</v>
      </c>
      <c r="L13" s="19" t="s">
        <v>150</v>
      </c>
      <c r="M13" s="43">
        <v>187139</v>
      </c>
      <c r="N13" s="26">
        <f>100%</f>
        <v>1</v>
      </c>
      <c r="O13" s="43">
        <v>195224</v>
      </c>
      <c r="P13" s="26">
        <f>1</f>
        <v>1</v>
      </c>
    </row>
    <row r="14" spans="2:21" ht="13.2" x14ac:dyDescent="0.25">
      <c r="N14" s="20"/>
      <c r="P14" s="20"/>
    </row>
    <row r="15" spans="2:21" ht="13.2" x14ac:dyDescent="0.25">
      <c r="N15" s="20"/>
      <c r="P15" s="20"/>
    </row>
    <row r="16" spans="2:21" ht="13.2" x14ac:dyDescent="0.25">
      <c r="M16" s="49"/>
      <c r="N16" s="20"/>
      <c r="P16" s="20"/>
    </row>
    <row r="17" spans="2:21" ht="15.75" customHeight="1" x14ac:dyDescent="0.25">
      <c r="N17" s="20"/>
      <c r="P17" s="20"/>
    </row>
    <row r="18" spans="2:21" ht="15.75" customHeight="1" x14ac:dyDescent="0.25">
      <c r="N18" s="20"/>
      <c r="P18" s="20"/>
    </row>
    <row r="19" spans="2:21" ht="15.75" customHeight="1" x14ac:dyDescent="0.25">
      <c r="N19" s="20"/>
      <c r="P19" s="20"/>
    </row>
    <row r="20" spans="2:21" ht="15.75" customHeight="1" x14ac:dyDescent="0.25">
      <c r="N20" s="20"/>
      <c r="P20" s="20"/>
    </row>
    <row r="21" spans="2:21" ht="15.75" customHeight="1" x14ac:dyDescent="0.25">
      <c r="N21" s="20"/>
      <c r="P21" s="20"/>
    </row>
    <row r="22" spans="2:21" ht="15.75" customHeight="1" x14ac:dyDescent="0.25">
      <c r="B22" s="2"/>
      <c r="N22" s="20"/>
      <c r="P22" s="20"/>
    </row>
    <row r="23" spans="2:21" ht="15.75" customHeight="1" x14ac:dyDescent="0.25">
      <c r="B23" s="199" t="s">
        <v>151</v>
      </c>
      <c r="C23" s="197"/>
      <c r="D23" s="198"/>
    </row>
    <row r="24" spans="2:21" ht="15.75" customHeight="1" x14ac:dyDescent="0.25">
      <c r="B24" s="54" t="s">
        <v>4</v>
      </c>
      <c r="C24" s="55">
        <v>2024</v>
      </c>
      <c r="D24" s="56">
        <v>2023</v>
      </c>
      <c r="L24" s="3" t="s">
        <v>4</v>
      </c>
      <c r="M24" s="10">
        <v>2024</v>
      </c>
      <c r="N24" s="10">
        <v>2024</v>
      </c>
      <c r="O24" s="29">
        <v>2023</v>
      </c>
      <c r="P24" s="10">
        <v>2023</v>
      </c>
      <c r="S24" s="3"/>
      <c r="T24" s="10">
        <v>2024</v>
      </c>
      <c r="U24" s="10">
        <v>2023</v>
      </c>
    </row>
    <row r="25" spans="2:21" ht="15.75" customHeight="1" x14ac:dyDescent="0.25">
      <c r="B25" s="52" t="s">
        <v>7</v>
      </c>
      <c r="C25" s="7"/>
      <c r="D25" s="17"/>
      <c r="L25" s="11" t="s">
        <v>7</v>
      </c>
      <c r="M25" s="32"/>
      <c r="N25" s="31"/>
      <c r="O25" s="28"/>
      <c r="P25" s="30"/>
      <c r="S25" s="12" t="s">
        <v>152</v>
      </c>
      <c r="T25" s="21">
        <v>0.86837699708767913</v>
      </c>
      <c r="U25" s="21">
        <v>0.84628048495997543</v>
      </c>
    </row>
    <row r="26" spans="2:21" ht="15.75" customHeight="1" x14ac:dyDescent="0.25">
      <c r="B26" s="12" t="s">
        <v>152</v>
      </c>
      <c r="C26" s="57">
        <v>137458</v>
      </c>
      <c r="D26" s="47">
        <v>126970</v>
      </c>
      <c r="L26" s="12" t="s">
        <v>152</v>
      </c>
      <c r="M26" s="57">
        <v>137458</v>
      </c>
      <c r="N26" s="21">
        <f>(M26*N28)/M28</f>
        <v>0.86837699708767913</v>
      </c>
      <c r="O26" s="47">
        <v>126970</v>
      </c>
      <c r="P26" s="21">
        <f>(O26*$P$28)/$O$28</f>
        <v>0.84628048495997543</v>
      </c>
      <c r="S26" s="13" t="s">
        <v>153</v>
      </c>
      <c r="T26" s="21">
        <v>0.13162300291232082</v>
      </c>
      <c r="U26" s="21">
        <v>0.15371951504002454</v>
      </c>
    </row>
    <row r="27" spans="2:21" ht="15.75" customHeight="1" x14ac:dyDescent="0.25">
      <c r="B27" s="13" t="s">
        <v>153</v>
      </c>
      <c r="C27" s="58">
        <v>20835</v>
      </c>
      <c r="D27" s="44">
        <v>23063</v>
      </c>
      <c r="L27" s="13" t="s">
        <v>153</v>
      </c>
      <c r="M27" s="58">
        <v>20835</v>
      </c>
      <c r="N27" s="21">
        <f>(M27*N28)/M28</f>
        <v>0.13162300291232082</v>
      </c>
      <c r="O27" s="44">
        <v>23063</v>
      </c>
      <c r="P27" s="21">
        <f>(O27*$P$28)/$O$28</f>
        <v>0.15371951504002454</v>
      </c>
      <c r="S27" s="15" t="s">
        <v>154</v>
      </c>
      <c r="T27" s="27">
        <v>0.38568351095752812</v>
      </c>
      <c r="U27" s="23">
        <v>0.40185825784993967</v>
      </c>
    </row>
    <row r="28" spans="2:21" ht="13.2" x14ac:dyDescent="0.25">
      <c r="B28" s="19" t="s">
        <v>105</v>
      </c>
      <c r="C28" s="45">
        <v>158293</v>
      </c>
      <c r="D28" s="62">
        <v>150033</v>
      </c>
      <c r="L28" s="19" t="s">
        <v>105</v>
      </c>
      <c r="M28" s="43">
        <v>158293</v>
      </c>
      <c r="N28" s="26">
        <v>1</v>
      </c>
      <c r="O28" s="43">
        <v>150033</v>
      </c>
      <c r="P28" s="26">
        <f>1</f>
        <v>1</v>
      </c>
      <c r="S28" s="13" t="s">
        <v>155</v>
      </c>
      <c r="T28" s="21">
        <v>0.42391640817976789</v>
      </c>
      <c r="U28" s="21">
        <v>0.41103623869415395</v>
      </c>
    </row>
    <row r="29" spans="2:21" ht="13.2" x14ac:dyDescent="0.25">
      <c r="B29" s="65" t="s">
        <v>110</v>
      </c>
      <c r="C29" s="74"/>
      <c r="D29" s="17"/>
      <c r="L29" s="14" t="s">
        <v>110</v>
      </c>
      <c r="M29" s="7"/>
      <c r="N29" s="75"/>
      <c r="O29" s="17"/>
      <c r="P29" s="22"/>
      <c r="S29" s="16" t="s">
        <v>156</v>
      </c>
      <c r="T29" s="34">
        <v>0.19040008086270396</v>
      </c>
      <c r="U29" s="24">
        <v>0.18710550345590637</v>
      </c>
    </row>
    <row r="30" spans="2:21" ht="13.2" x14ac:dyDescent="0.25">
      <c r="B30" s="15" t="s">
        <v>154</v>
      </c>
      <c r="C30" s="59">
        <v>61051</v>
      </c>
      <c r="D30" s="40">
        <v>60292</v>
      </c>
      <c r="L30" s="15" t="s">
        <v>154</v>
      </c>
      <c r="M30" s="59">
        <v>61051</v>
      </c>
      <c r="N30" s="27">
        <f>(M30*N33)/M33</f>
        <v>0.38568351095752812</v>
      </c>
      <c r="O30" s="40">
        <v>60292</v>
      </c>
      <c r="P30" s="23">
        <f>(O30*P33)/O33</f>
        <v>0.40185825784993967</v>
      </c>
    </row>
    <row r="31" spans="2:21" ht="13.2" x14ac:dyDescent="0.25">
      <c r="B31" s="13" t="s">
        <v>155</v>
      </c>
      <c r="C31" s="58">
        <v>67103</v>
      </c>
      <c r="D31" s="44">
        <v>61669</v>
      </c>
      <c r="L31" s="13" t="s">
        <v>155</v>
      </c>
      <c r="M31" s="58">
        <v>67103</v>
      </c>
      <c r="N31" s="21">
        <f>(M31*$N$33)/$M$33</f>
        <v>0.42391640817976789</v>
      </c>
      <c r="O31" s="44">
        <v>61669</v>
      </c>
      <c r="P31" s="21">
        <f>(O31*P33)/O33</f>
        <v>0.41103623869415395</v>
      </c>
    </row>
    <row r="32" spans="2:21" ht="13.2" x14ac:dyDescent="0.25">
      <c r="B32" s="16" t="s">
        <v>156</v>
      </c>
      <c r="C32" s="60">
        <v>30139</v>
      </c>
      <c r="D32" s="46">
        <v>28072</v>
      </c>
      <c r="L32" s="16" t="s">
        <v>156</v>
      </c>
      <c r="M32" s="60">
        <v>30139</v>
      </c>
      <c r="N32" s="21">
        <f>(M32*$N$33)/$M$33</f>
        <v>0.19040008086270396</v>
      </c>
      <c r="O32" s="46">
        <v>28072</v>
      </c>
      <c r="P32" s="24">
        <f>(O32*P33)/O33</f>
        <v>0.18710550345590637</v>
      </c>
    </row>
    <row r="33" spans="2:16" ht="13.2" x14ac:dyDescent="0.25">
      <c r="B33" s="19" t="s">
        <v>150</v>
      </c>
      <c r="C33" s="45">
        <f>C30+C31+C32</f>
        <v>158293</v>
      </c>
      <c r="D33" s="62">
        <f>D30+D31+D32</f>
        <v>150033</v>
      </c>
      <c r="L33" s="19" t="s">
        <v>150</v>
      </c>
      <c r="M33" s="45">
        <f>M30+M31+M32</f>
        <v>158293</v>
      </c>
      <c r="N33" s="26">
        <f>100%</f>
        <v>1</v>
      </c>
      <c r="O33" s="62">
        <f>O30+O31+O32</f>
        <v>150033</v>
      </c>
      <c r="P33" s="26">
        <f>1</f>
        <v>1</v>
      </c>
    </row>
    <row r="34" spans="2:16" ht="13.2" x14ac:dyDescent="0.25"/>
    <row r="35" spans="2:16" ht="13.2" x14ac:dyDescent="0.25"/>
    <row r="36" spans="2:16" ht="13.2" x14ac:dyDescent="0.25"/>
    <row r="37" spans="2:16" ht="13.2" x14ac:dyDescent="0.25"/>
    <row r="38" spans="2:16" ht="13.2" x14ac:dyDescent="0.25"/>
    <row r="39" spans="2:16" ht="13.2" x14ac:dyDescent="0.25"/>
    <row r="40" spans="2:16" ht="13.2" x14ac:dyDescent="0.25"/>
    <row r="41" spans="2:16" ht="13.2" x14ac:dyDescent="0.25"/>
    <row r="42" spans="2:16" ht="13.2" x14ac:dyDescent="0.25">
      <c r="L42" s="21"/>
    </row>
    <row r="43" spans="2:16" ht="13.2" x14ac:dyDescent="0.25">
      <c r="L43" s="21"/>
    </row>
    <row r="44" spans="2:16" ht="13.2" x14ac:dyDescent="0.25"/>
    <row r="45" spans="2:16" ht="13.2" x14ac:dyDescent="0.25"/>
    <row r="46" spans="2:16" ht="13.2" x14ac:dyDescent="0.25"/>
    <row r="47" spans="2:16" ht="13.2" x14ac:dyDescent="0.25"/>
    <row r="48" spans="2:16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mergeCells count="2">
    <mergeCell ref="B2:D2"/>
    <mergeCell ref="B23:D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O42"/>
  <sheetViews>
    <sheetView topLeftCell="B1" zoomScale="69" workbookViewId="0">
      <selection activeCell="M23" sqref="M23"/>
    </sheetView>
  </sheetViews>
  <sheetFormatPr defaultColWidth="12.6640625" defaultRowHeight="15.75" customHeight="1" x14ac:dyDescent="0.25"/>
  <cols>
    <col min="2" max="2" width="37.109375" bestFit="1" customWidth="1"/>
    <col min="7" max="7" width="13.5546875" bestFit="1" customWidth="1"/>
    <col min="8" max="8" width="13.5546875" customWidth="1"/>
    <col min="9" max="9" width="37.109375" bestFit="1" customWidth="1"/>
    <col min="14" max="14" width="38.88671875" bestFit="1" customWidth="1"/>
    <col min="18" max="18" width="22.33203125" customWidth="1"/>
  </cols>
  <sheetData>
    <row r="2" spans="2:15" ht="13.2" x14ac:dyDescent="0.25">
      <c r="B2" s="2"/>
    </row>
    <row r="3" spans="2:15" ht="15.75" customHeight="1" x14ac:dyDescent="0.25">
      <c r="N3" s="143"/>
    </row>
    <row r="4" spans="2:15" ht="15.75" customHeight="1" x14ac:dyDescent="0.25">
      <c r="B4" s="196" t="s">
        <v>0</v>
      </c>
      <c r="C4" s="197"/>
      <c r="D4" s="198"/>
      <c r="I4" s="199" t="s">
        <v>151</v>
      </c>
      <c r="J4" s="197"/>
      <c r="K4" s="198"/>
    </row>
    <row r="5" spans="2:15" ht="13.2" x14ac:dyDescent="0.25">
      <c r="B5" s="53" t="s">
        <v>4</v>
      </c>
      <c r="C5" s="36">
        <v>2024</v>
      </c>
      <c r="D5" s="35">
        <v>2023</v>
      </c>
      <c r="I5" s="53" t="s">
        <v>4</v>
      </c>
      <c r="J5" s="36">
        <v>2024</v>
      </c>
      <c r="K5" s="35">
        <v>2023</v>
      </c>
    </row>
    <row r="6" spans="2:15" ht="13.2" x14ac:dyDescent="0.25">
      <c r="B6" s="146" t="s">
        <v>8</v>
      </c>
      <c r="C6" s="147">
        <v>78947</v>
      </c>
      <c r="D6" s="147">
        <v>95565</v>
      </c>
      <c r="G6" s="145"/>
      <c r="I6" s="146" t="s">
        <v>8</v>
      </c>
      <c r="J6" s="147">
        <v>44739</v>
      </c>
      <c r="K6" s="148">
        <v>49335</v>
      </c>
    </row>
    <row r="7" spans="2:15" ht="13.2" x14ac:dyDescent="0.25">
      <c r="B7" s="77" t="s">
        <v>158</v>
      </c>
      <c r="C7" s="78">
        <f>-30282-19240</f>
        <v>-49522</v>
      </c>
      <c r="D7" s="79">
        <f>-46270-18304</f>
        <v>-64574</v>
      </c>
      <c r="I7" s="77" t="s">
        <v>158</v>
      </c>
      <c r="J7" s="78">
        <v>-20863</v>
      </c>
      <c r="K7" s="79">
        <v>-26033</v>
      </c>
      <c r="N7" s="144"/>
      <c r="O7" s="144"/>
    </row>
    <row r="8" spans="2:15" ht="13.2" x14ac:dyDescent="0.25">
      <c r="B8" s="77" t="s">
        <v>17</v>
      </c>
      <c r="C8" s="78">
        <f>-4938-3940+3042+477</f>
        <v>-5359</v>
      </c>
      <c r="D8" s="79">
        <f>-5030-6125+3385-2966</f>
        <v>-10736</v>
      </c>
      <c r="E8" s="144"/>
      <c r="I8" s="77" t="s">
        <v>17</v>
      </c>
      <c r="J8" s="78">
        <f>-3941+947-4159+2691-2566</f>
        <v>-7028</v>
      </c>
      <c r="K8" s="79">
        <f>-3824+864-4000+824-2749</f>
        <v>-8885</v>
      </c>
    </row>
    <row r="9" spans="2:15" ht="13.2" x14ac:dyDescent="0.25">
      <c r="B9" s="146" t="s">
        <v>159</v>
      </c>
      <c r="C9" s="147">
        <f>SUM(C6:C8)</f>
        <v>24066</v>
      </c>
      <c r="D9" s="148">
        <f>SUM(D6:D8)</f>
        <v>20255</v>
      </c>
      <c r="G9" s="145"/>
      <c r="I9" s="146" t="s">
        <v>159</v>
      </c>
      <c r="J9" s="147">
        <f>SUM(J6:J8)</f>
        <v>16848</v>
      </c>
      <c r="K9" s="148">
        <v>14417</v>
      </c>
    </row>
    <row r="10" spans="2:15" ht="13.2" x14ac:dyDescent="0.25">
      <c r="B10" s="77" t="s">
        <v>219</v>
      </c>
      <c r="C10" s="78">
        <f>-7249-1323</f>
        <v>-8572</v>
      </c>
      <c r="D10" s="79">
        <f>-8089-1334</f>
        <v>-9423</v>
      </c>
      <c r="I10" s="77" t="s">
        <v>219</v>
      </c>
      <c r="J10" s="78">
        <f>-471-6648</f>
        <v>-7119</v>
      </c>
      <c r="K10" s="79">
        <f>-618-4826</f>
        <v>-5444</v>
      </c>
      <c r="L10" s="144"/>
    </row>
    <row r="11" spans="2:15" ht="15.75" customHeight="1" x14ac:dyDescent="0.25">
      <c r="B11" s="146" t="s">
        <v>160</v>
      </c>
      <c r="C11" s="147">
        <f>SUM(C9:C10)</f>
        <v>15494</v>
      </c>
      <c r="D11" s="148">
        <f>SUM(D9:D10)</f>
        <v>10832</v>
      </c>
      <c r="I11" s="146" t="s">
        <v>160</v>
      </c>
      <c r="J11" s="147">
        <f>SUM(J9:J10)</f>
        <v>9729</v>
      </c>
      <c r="K11" s="148">
        <f>SUM(K9:K10)</f>
        <v>8973</v>
      </c>
      <c r="L11" s="144"/>
    </row>
    <row r="12" spans="2:15" ht="15.75" customHeight="1" x14ac:dyDescent="0.25">
      <c r="B12" s="152" t="s">
        <v>248</v>
      </c>
      <c r="C12" s="78">
        <f>-3401-210</f>
        <v>-3611</v>
      </c>
      <c r="D12" s="79">
        <f>-3375-41</f>
        <v>-3416</v>
      </c>
      <c r="F12" s="145"/>
      <c r="G12" s="145"/>
      <c r="I12" s="152" t="s">
        <v>248</v>
      </c>
      <c r="J12" s="78">
        <f>-1575-37</f>
        <v>-1612</v>
      </c>
      <c r="K12" s="79">
        <f>-2187+239</f>
        <v>-1948</v>
      </c>
    </row>
    <row r="13" spans="2:15" ht="15.75" customHeight="1" x14ac:dyDescent="0.25">
      <c r="B13" s="146" t="s">
        <v>161</v>
      </c>
      <c r="C13" s="147">
        <f>SUM(C11:C12)</f>
        <v>11883</v>
      </c>
      <c r="D13" s="148">
        <f>SUM(D11:D12)</f>
        <v>7416</v>
      </c>
      <c r="I13" s="146" t="s">
        <v>161</v>
      </c>
      <c r="J13" s="147">
        <f>SUM(J11:J12)</f>
        <v>8117</v>
      </c>
      <c r="K13" s="148">
        <f>SUM(K11:K12)</f>
        <v>7025</v>
      </c>
    </row>
    <row r="14" spans="2:15" ht="15.75" customHeight="1" x14ac:dyDescent="0.25">
      <c r="B14" s="77" t="s">
        <v>222</v>
      </c>
      <c r="C14" s="78">
        <f>-3654</f>
        <v>-3654</v>
      </c>
      <c r="D14" s="79">
        <f>-2778-371</f>
        <v>-3149</v>
      </c>
      <c r="I14" s="77" t="s">
        <v>222</v>
      </c>
      <c r="J14" s="78">
        <f>-2150-19-336</f>
        <v>-2505</v>
      </c>
      <c r="K14" s="79">
        <f>-1610-21-591</f>
        <v>-2222</v>
      </c>
    </row>
    <row r="15" spans="2:15" ht="15.75" customHeight="1" x14ac:dyDescent="0.25">
      <c r="B15" s="149" t="s">
        <v>162</v>
      </c>
      <c r="C15" s="150">
        <f>SUM(C13:C14)</f>
        <v>8229</v>
      </c>
      <c r="D15" s="151">
        <f>SUM(D13:D14)</f>
        <v>4267</v>
      </c>
      <c r="G15" s="145"/>
      <c r="I15" s="149" t="s">
        <v>162</v>
      </c>
      <c r="J15" s="150">
        <f>SUM(J13:J14)</f>
        <v>5612</v>
      </c>
      <c r="K15" s="151">
        <f>SUM(K13:K14)</f>
        <v>4803</v>
      </c>
    </row>
    <row r="18" spans="2:11" ht="15.75" customHeight="1" x14ac:dyDescent="0.25">
      <c r="G18" s="145"/>
    </row>
    <row r="20" spans="2:11" ht="15.75" customHeight="1" x14ac:dyDescent="0.25">
      <c r="B20" s="196" t="s">
        <v>0</v>
      </c>
      <c r="C20" s="197"/>
      <c r="D20" s="198"/>
      <c r="I20" s="199" t="s">
        <v>151</v>
      </c>
      <c r="J20" s="197"/>
      <c r="K20" s="198"/>
    </row>
    <row r="21" spans="2:11" ht="15.75" customHeight="1" x14ac:dyDescent="0.25">
      <c r="B21" s="53" t="s">
        <v>4</v>
      </c>
      <c r="C21" s="36">
        <v>2024</v>
      </c>
      <c r="D21" s="35">
        <v>2023</v>
      </c>
      <c r="G21" s="145"/>
      <c r="I21" s="53" t="s">
        <v>4</v>
      </c>
      <c r="J21" s="36">
        <v>2024</v>
      </c>
      <c r="K21" s="35">
        <v>2023</v>
      </c>
    </row>
    <row r="22" spans="2:11" ht="15.75" customHeight="1" x14ac:dyDescent="0.25">
      <c r="B22" s="77" t="s">
        <v>8</v>
      </c>
      <c r="C22" s="82">
        <f>C6/$C$6</f>
        <v>1</v>
      </c>
      <c r="D22" s="81">
        <f>D6/$D$6</f>
        <v>1</v>
      </c>
      <c r="I22" s="77" t="s">
        <v>8</v>
      </c>
      <c r="J22" s="82">
        <f>J6/$J$6</f>
        <v>1</v>
      </c>
      <c r="K22" s="81">
        <f>K6/$K$6</f>
        <v>1</v>
      </c>
    </row>
    <row r="23" spans="2:11" ht="15.75" customHeight="1" x14ac:dyDescent="0.25">
      <c r="B23" s="77" t="s">
        <v>159</v>
      </c>
      <c r="C23" s="82">
        <f>C9/$C$6</f>
        <v>0.30483742257463869</v>
      </c>
      <c r="D23" s="81">
        <f>D9/$D$6</f>
        <v>0.21194998168785642</v>
      </c>
      <c r="I23" s="77" t="s">
        <v>159</v>
      </c>
      <c r="J23" s="82">
        <f>J9/$J$6</f>
        <v>0.37658418829209417</v>
      </c>
      <c r="K23" s="81">
        <f>K9/$K$6</f>
        <v>0.2922266139657444</v>
      </c>
    </row>
    <row r="24" spans="2:11" ht="15.75" customHeight="1" x14ac:dyDescent="0.25">
      <c r="B24" s="77" t="s">
        <v>160</v>
      </c>
      <c r="C24" s="82">
        <f>C11/$C$6</f>
        <v>0.19625824920516297</v>
      </c>
      <c r="D24" s="81">
        <f>D11/$D$6</f>
        <v>0.11334693663998326</v>
      </c>
      <c r="I24" s="77" t="s">
        <v>160</v>
      </c>
      <c r="J24" s="82">
        <f>J11/$J$6</f>
        <v>0.21746127539730437</v>
      </c>
      <c r="K24" s="81">
        <f>K11/$K$6</f>
        <v>0.18187899057464274</v>
      </c>
    </row>
    <row r="25" spans="2:11" ht="15.75" customHeight="1" x14ac:dyDescent="0.25">
      <c r="B25" s="80" t="s">
        <v>162</v>
      </c>
      <c r="C25" s="83">
        <f>C15/$C$6</f>
        <v>0.10423448642760333</v>
      </c>
      <c r="D25" s="84">
        <f>D15/$D$6</f>
        <v>4.4650238057866373E-2</v>
      </c>
      <c r="I25" s="80" t="s">
        <v>162</v>
      </c>
      <c r="J25" s="83">
        <f>J15/$J$6</f>
        <v>0.12543865531192025</v>
      </c>
      <c r="K25" s="84">
        <f>K15/$K$6</f>
        <v>9.7354819093949524E-2</v>
      </c>
    </row>
    <row r="42" spans="10:12" ht="15.75" customHeight="1" x14ac:dyDescent="0.25">
      <c r="J42" s="144"/>
      <c r="L42" s="144"/>
    </row>
  </sheetData>
  <mergeCells count="4">
    <mergeCell ref="B4:D4"/>
    <mergeCell ref="I4:K4"/>
    <mergeCell ref="B20:D20"/>
    <mergeCell ref="I20:K2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workbookViewId="0">
      <selection activeCell="H9" sqref="H9"/>
    </sheetView>
  </sheetViews>
  <sheetFormatPr defaultColWidth="12.6640625" defaultRowHeight="15.75" customHeight="1" x14ac:dyDescent="0.25"/>
  <cols>
    <col min="1" max="1" width="21.33203125" customWidth="1"/>
    <col min="2" max="2" width="37.33203125" customWidth="1"/>
  </cols>
  <sheetData>
    <row r="1" spans="1:6" x14ac:dyDescent="0.25">
      <c r="A1" s="1"/>
      <c r="B1" s="1"/>
      <c r="C1" s="1"/>
      <c r="D1" s="1"/>
    </row>
    <row r="2" spans="1:6" x14ac:dyDescent="0.25">
      <c r="A2" s="1"/>
      <c r="B2" s="200" t="s">
        <v>0</v>
      </c>
      <c r="C2" s="201"/>
      <c r="D2" s="201"/>
    </row>
    <row r="3" spans="1:6" x14ac:dyDescent="0.25">
      <c r="A3" s="2"/>
      <c r="B3" s="3" t="s">
        <v>163</v>
      </c>
      <c r="C3" s="1">
        <v>2024</v>
      </c>
      <c r="D3" s="1">
        <v>2023</v>
      </c>
    </row>
    <row r="4" spans="1:6" x14ac:dyDescent="0.25">
      <c r="A4" s="4"/>
      <c r="B4" s="4" t="s">
        <v>162</v>
      </c>
      <c r="C4" s="2">
        <v>8.2289999999999992</v>
      </c>
      <c r="D4" s="2">
        <v>4.2670000000000003</v>
      </c>
    </row>
    <row r="5" spans="1:6" x14ac:dyDescent="0.25">
      <c r="A5" s="2"/>
      <c r="B5" s="2" t="s">
        <v>164</v>
      </c>
      <c r="C5" s="5">
        <v>13.223000000000001</v>
      </c>
      <c r="D5" s="5">
        <v>14.62</v>
      </c>
    </row>
    <row r="6" spans="1:6" x14ac:dyDescent="0.25">
      <c r="A6" s="2"/>
      <c r="B6" s="2" t="s">
        <v>165</v>
      </c>
      <c r="C6" s="2">
        <v>-4.1079999999999997</v>
      </c>
      <c r="D6" s="5">
        <v>10.61</v>
      </c>
      <c r="F6" s="4"/>
    </row>
    <row r="7" spans="1:6" x14ac:dyDescent="0.25">
      <c r="A7" s="2"/>
      <c r="B7" s="2" t="s">
        <v>166</v>
      </c>
      <c r="C7" s="2">
        <v>-7.9889999999999999</v>
      </c>
      <c r="D7" s="2">
        <v>-8.3610000000000007</v>
      </c>
      <c r="F7" s="4"/>
    </row>
    <row r="8" spans="1:6" x14ac:dyDescent="0.25">
      <c r="A8" s="4"/>
      <c r="B8" s="4" t="s">
        <v>167</v>
      </c>
      <c r="C8" s="2">
        <v>1.052</v>
      </c>
      <c r="D8" s="5">
        <v>4.4000000000000004</v>
      </c>
      <c r="F8" s="4"/>
    </row>
    <row r="13" spans="1:6" x14ac:dyDescent="0.25">
      <c r="A13" s="6"/>
      <c r="B13" s="202" t="s">
        <v>151</v>
      </c>
      <c r="C13" s="201"/>
      <c r="D13" s="201"/>
    </row>
    <row r="14" spans="1:6" x14ac:dyDescent="0.25">
      <c r="A14" s="7"/>
      <c r="B14" s="3" t="s">
        <v>163</v>
      </c>
      <c r="C14" s="6">
        <v>2024</v>
      </c>
      <c r="D14" s="6">
        <v>2023</v>
      </c>
    </row>
    <row r="15" spans="1:6" x14ac:dyDescent="0.25">
      <c r="A15" s="8"/>
      <c r="B15" s="8" t="s">
        <v>162</v>
      </c>
      <c r="C15" s="9">
        <v>5.6120000000000001</v>
      </c>
      <c r="D15" s="9">
        <v>4.0830000000000002</v>
      </c>
    </row>
    <row r="16" spans="1:6" x14ac:dyDescent="0.25">
      <c r="A16" s="7"/>
      <c r="B16" s="7" t="s">
        <v>164</v>
      </c>
      <c r="C16" s="9">
        <v>11.025</v>
      </c>
      <c r="D16" s="76">
        <v>12.13</v>
      </c>
    </row>
    <row r="17" spans="1:4" x14ac:dyDescent="0.25">
      <c r="A17" s="7"/>
      <c r="B17" s="7" t="s">
        <v>165</v>
      </c>
      <c r="C17" s="9">
        <v>-8.3970000000000002</v>
      </c>
      <c r="D17" s="9">
        <v>-9.6929999999999996</v>
      </c>
    </row>
    <row r="18" spans="1:4" x14ac:dyDescent="0.25">
      <c r="A18" s="7"/>
      <c r="B18" s="7" t="s">
        <v>166</v>
      </c>
      <c r="C18" s="9">
        <v>-2.2669999999999999</v>
      </c>
      <c r="D18" s="9">
        <v>-4.0880000000000001</v>
      </c>
    </row>
    <row r="19" spans="1:4" x14ac:dyDescent="0.25">
      <c r="A19" s="8"/>
      <c r="B19" s="8" t="s">
        <v>167</v>
      </c>
      <c r="C19" s="9">
        <v>1.0629999999999999</v>
      </c>
      <c r="D19" s="9">
        <v>-1.589</v>
      </c>
    </row>
  </sheetData>
  <mergeCells count="2">
    <mergeCell ref="B2:D2"/>
    <mergeCell ref="B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3540-D9B3-4D8A-8099-C6908DFABD17}">
  <dimension ref="B2:K19"/>
  <sheetViews>
    <sheetView tabSelected="1" zoomScaleNormal="100" workbookViewId="0">
      <selection activeCell="E22" sqref="E22"/>
    </sheetView>
  </sheetViews>
  <sheetFormatPr defaultRowHeight="13.2" x14ac:dyDescent="0.25"/>
  <cols>
    <col min="2" max="2" width="22.33203125" customWidth="1"/>
    <col min="3" max="3" width="14" customWidth="1"/>
    <col min="4" max="4" width="12.109375" customWidth="1"/>
    <col min="5" max="5" width="15.109375" bestFit="1" customWidth="1"/>
    <col min="6" max="6" width="18.44140625" customWidth="1"/>
  </cols>
  <sheetData>
    <row r="2" spans="2:6" ht="14.4" x14ac:dyDescent="0.3">
      <c r="B2" s="157" t="s">
        <v>168</v>
      </c>
      <c r="C2" s="158" t="s">
        <v>169</v>
      </c>
      <c r="D2" s="158" t="s">
        <v>170</v>
      </c>
      <c r="E2" s="158" t="s">
        <v>171</v>
      </c>
      <c r="F2" s="159" t="s">
        <v>172</v>
      </c>
    </row>
    <row r="3" spans="2:6" ht="14.4" x14ac:dyDescent="0.3">
      <c r="B3" s="156" t="s">
        <v>173</v>
      </c>
      <c r="C3" s="68">
        <v>0.17230000000000001</v>
      </c>
      <c r="D3" s="68">
        <v>0.20979999999999999</v>
      </c>
      <c r="E3" s="70">
        <v>9.2600000000000002E-2</v>
      </c>
      <c r="F3" s="160">
        <v>8.4000000000000005E-2</v>
      </c>
    </row>
    <row r="4" spans="2:6" ht="14.4" x14ac:dyDescent="0.3">
      <c r="B4" s="156" t="s">
        <v>174</v>
      </c>
      <c r="C4" s="68">
        <v>5.7000000000000002E-2</v>
      </c>
      <c r="D4" s="68">
        <v>7.1999999999999995E-2</v>
      </c>
      <c r="E4" s="70">
        <v>6.6299999999999998E-2</v>
      </c>
      <c r="F4" s="160">
        <v>5.7000000000000002E-2</v>
      </c>
    </row>
    <row r="5" spans="2:6" ht="14.4" x14ac:dyDescent="0.3">
      <c r="B5" s="156" t="s">
        <v>176</v>
      </c>
      <c r="C5" s="67">
        <v>1.53</v>
      </c>
      <c r="D5" s="67">
        <v>1.59</v>
      </c>
      <c r="E5" s="69">
        <v>1.0900000000000001</v>
      </c>
      <c r="F5" s="161">
        <v>1.23</v>
      </c>
    </row>
    <row r="6" spans="2:6" ht="14.4" x14ac:dyDescent="0.3">
      <c r="B6" s="156" t="s">
        <v>177</v>
      </c>
      <c r="C6" s="67">
        <v>0.48</v>
      </c>
      <c r="D6" s="67">
        <v>0.47</v>
      </c>
      <c r="E6" s="69">
        <v>1.05</v>
      </c>
      <c r="F6" s="161">
        <v>0.82</v>
      </c>
    </row>
    <row r="9" spans="2:6" ht="14.4" x14ac:dyDescent="0.3">
      <c r="B9" s="157" t="s">
        <v>178</v>
      </c>
      <c r="C9" s="158" t="s">
        <v>169</v>
      </c>
      <c r="D9" s="158" t="s">
        <v>170</v>
      </c>
      <c r="E9" s="158" t="s">
        <v>171</v>
      </c>
      <c r="F9" s="159" t="s">
        <v>172</v>
      </c>
    </row>
    <row r="10" spans="2:6" ht="14.4" x14ac:dyDescent="0.3">
      <c r="B10" s="156" t="s">
        <v>179</v>
      </c>
      <c r="C10" s="67">
        <v>0.82</v>
      </c>
      <c r="D10" s="67">
        <v>0.79</v>
      </c>
      <c r="E10" s="69">
        <v>0.69</v>
      </c>
      <c r="F10" s="161">
        <v>0.82</v>
      </c>
    </row>
    <row r="11" spans="2:6" ht="14.4" x14ac:dyDescent="0.3">
      <c r="B11" s="156" t="s">
        <v>180</v>
      </c>
      <c r="C11" s="67">
        <v>0.74</v>
      </c>
      <c r="D11" s="67">
        <v>0.7</v>
      </c>
      <c r="E11" s="69">
        <v>0.57999999999999996</v>
      </c>
      <c r="F11" s="161">
        <v>0.72</v>
      </c>
    </row>
    <row r="14" spans="2:6" ht="14.4" x14ac:dyDescent="0.3">
      <c r="B14" s="157" t="s">
        <v>181</v>
      </c>
      <c r="C14" s="158" t="s">
        <v>169</v>
      </c>
      <c r="D14" s="158" t="s">
        <v>170</v>
      </c>
      <c r="E14" s="158" t="s">
        <v>171</v>
      </c>
      <c r="F14" s="159" t="s">
        <v>172</v>
      </c>
    </row>
    <row r="15" spans="2:6" ht="14.4" x14ac:dyDescent="0.3">
      <c r="B15" s="156" t="s">
        <v>182</v>
      </c>
      <c r="C15" s="71">
        <v>0.78</v>
      </c>
      <c r="D15" s="71">
        <v>0.8</v>
      </c>
      <c r="E15" s="72">
        <v>0.62</v>
      </c>
      <c r="F15" s="162">
        <v>0.6</v>
      </c>
    </row>
    <row r="16" spans="2:6" ht="14.4" x14ac:dyDescent="0.3">
      <c r="B16" s="156" t="s">
        <v>183</v>
      </c>
      <c r="C16" s="67">
        <v>0.22</v>
      </c>
      <c r="D16" s="67">
        <v>0.2</v>
      </c>
      <c r="E16" s="69">
        <v>0.37</v>
      </c>
      <c r="F16" s="161">
        <v>0.39</v>
      </c>
    </row>
    <row r="17" spans="2:11" ht="14.4" x14ac:dyDescent="0.3">
      <c r="B17" s="156" t="s">
        <v>184</v>
      </c>
      <c r="C17" s="67">
        <v>0.91</v>
      </c>
      <c r="D17" s="67">
        <v>0.92</v>
      </c>
      <c r="E17" s="69">
        <v>1.08</v>
      </c>
      <c r="F17" s="161">
        <v>1.1200000000000001</v>
      </c>
    </row>
    <row r="18" spans="2:11" ht="14.4" x14ac:dyDescent="0.3">
      <c r="B18" s="156" t="s">
        <v>185</v>
      </c>
      <c r="C18" s="67">
        <v>2.4300000000000002</v>
      </c>
      <c r="D18" s="67">
        <v>3.13</v>
      </c>
      <c r="E18" s="69">
        <v>3.96</v>
      </c>
      <c r="F18" s="161">
        <v>3.24</v>
      </c>
    </row>
    <row r="19" spans="2:11" ht="13.8" x14ac:dyDescent="0.25">
      <c r="K19" s="154"/>
    </row>
  </sheetData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0593-8D6E-41B5-ADB2-9B2CF72A8273}">
  <dimension ref="B2:F23"/>
  <sheetViews>
    <sheetView workbookViewId="0">
      <selection activeCell="J14" sqref="J14"/>
    </sheetView>
  </sheetViews>
  <sheetFormatPr defaultRowHeight="13.2" x14ac:dyDescent="0.25"/>
  <cols>
    <col min="3" max="3" width="14" customWidth="1"/>
    <col min="4" max="4" width="22" customWidth="1"/>
    <col min="5" max="5" width="32" customWidth="1"/>
    <col min="6" max="6" width="38.44140625" customWidth="1"/>
  </cols>
  <sheetData>
    <row r="2" spans="2:6" ht="15.6" x14ac:dyDescent="0.3">
      <c r="B2" s="203" t="s">
        <v>186</v>
      </c>
      <c r="C2" s="204"/>
      <c r="D2" s="204"/>
      <c r="E2" s="204"/>
      <c r="F2" s="205"/>
    </row>
    <row r="3" spans="2:6" ht="14.4" x14ac:dyDescent="0.3">
      <c r="B3" s="163" t="s">
        <v>175</v>
      </c>
      <c r="C3" s="164" t="s">
        <v>175</v>
      </c>
      <c r="D3" s="182" t="s">
        <v>187</v>
      </c>
      <c r="E3" s="182" t="s">
        <v>188</v>
      </c>
      <c r="F3" s="184" t="s">
        <v>189</v>
      </c>
    </row>
    <row r="4" spans="2:6" ht="14.4" x14ac:dyDescent="0.3">
      <c r="B4" s="163" t="s">
        <v>175</v>
      </c>
      <c r="C4" s="164" t="s">
        <v>175</v>
      </c>
      <c r="D4" s="180" t="s">
        <v>190</v>
      </c>
      <c r="E4" s="180" t="s">
        <v>191</v>
      </c>
      <c r="F4" s="181" t="s">
        <v>192</v>
      </c>
    </row>
    <row r="5" spans="2:6" ht="14.4" x14ac:dyDescent="0.3">
      <c r="B5" s="163" t="s">
        <v>175</v>
      </c>
      <c r="C5" s="164" t="s">
        <v>175</v>
      </c>
      <c r="D5" s="167" t="s">
        <v>175</v>
      </c>
      <c r="E5" s="167" t="s">
        <v>175</v>
      </c>
      <c r="F5" s="168" t="s">
        <v>175</v>
      </c>
    </row>
    <row r="6" spans="2:6" ht="14.4" x14ac:dyDescent="0.3">
      <c r="B6" s="155" t="s">
        <v>193</v>
      </c>
      <c r="C6" s="159" t="s">
        <v>175</v>
      </c>
      <c r="D6" s="179" t="s">
        <v>194</v>
      </c>
      <c r="E6" s="179" t="s">
        <v>195</v>
      </c>
      <c r="F6" s="169" t="s">
        <v>196</v>
      </c>
    </row>
    <row r="7" spans="2:6" ht="14.4" x14ac:dyDescent="0.3">
      <c r="B7" s="170" t="s">
        <v>175</v>
      </c>
      <c r="C7" t="s">
        <v>175</v>
      </c>
      <c r="D7" s="164" t="s">
        <v>175</v>
      </c>
      <c r="E7" s="164" t="s">
        <v>175</v>
      </c>
      <c r="F7" s="171" t="s">
        <v>175</v>
      </c>
    </row>
    <row r="8" spans="2:6" ht="14.4" x14ac:dyDescent="0.3">
      <c r="B8" s="170" t="s">
        <v>197</v>
      </c>
      <c r="C8" s="172"/>
      <c r="D8" s="173">
        <v>0.09</v>
      </c>
      <c r="E8" s="164">
        <v>0.40210000000000001</v>
      </c>
      <c r="F8" s="171">
        <v>7.0380000000000003</v>
      </c>
    </row>
    <row r="9" spans="2:6" ht="14.4" x14ac:dyDescent="0.3">
      <c r="B9" s="170" t="s">
        <v>175</v>
      </c>
      <c r="C9" s="164" t="s">
        <v>175</v>
      </c>
      <c r="D9" s="164" t="s">
        <v>175</v>
      </c>
      <c r="E9" s="164" t="s">
        <v>175</v>
      </c>
      <c r="F9" s="171" t="s">
        <v>175</v>
      </c>
    </row>
    <row r="10" spans="2:6" ht="14.4" x14ac:dyDescent="0.3">
      <c r="B10" s="174" t="s">
        <v>198</v>
      </c>
      <c r="C10" s="175"/>
      <c r="D10" s="176">
        <v>4.1500000000000002E-2</v>
      </c>
      <c r="E10" s="177">
        <v>0.46800000000000003</v>
      </c>
      <c r="F10" s="178">
        <v>7.7468000000000004</v>
      </c>
    </row>
    <row r="15" spans="2:6" ht="15.6" x14ac:dyDescent="0.3">
      <c r="B15" s="203" t="s">
        <v>199</v>
      </c>
      <c r="C15" s="204"/>
      <c r="D15" s="204"/>
      <c r="E15" s="204"/>
      <c r="F15" s="205"/>
    </row>
    <row r="16" spans="2:6" ht="14.4" x14ac:dyDescent="0.3">
      <c r="B16" s="163" t="s">
        <v>175</v>
      </c>
      <c r="C16" s="164" t="s">
        <v>175</v>
      </c>
      <c r="D16" s="182" t="s">
        <v>187</v>
      </c>
      <c r="E16" s="165" t="s">
        <v>188</v>
      </c>
      <c r="F16" s="183" t="s">
        <v>189</v>
      </c>
    </row>
    <row r="17" spans="2:6" ht="14.4" x14ac:dyDescent="0.3">
      <c r="B17" s="163" t="s">
        <v>175</v>
      </c>
      <c r="C17" s="164" t="s">
        <v>175</v>
      </c>
      <c r="D17" s="180" t="s">
        <v>190</v>
      </c>
      <c r="E17" s="73" t="s">
        <v>191</v>
      </c>
      <c r="F17" s="166" t="s">
        <v>192</v>
      </c>
    </row>
    <row r="18" spans="2:6" ht="14.4" x14ac:dyDescent="0.3">
      <c r="B18" s="163" t="s">
        <v>175</v>
      </c>
      <c r="C18" s="164" t="s">
        <v>175</v>
      </c>
      <c r="D18" s="167" t="s">
        <v>175</v>
      </c>
      <c r="E18" s="167" t="s">
        <v>175</v>
      </c>
      <c r="F18" s="168" t="s">
        <v>175</v>
      </c>
    </row>
    <row r="19" spans="2:6" ht="14.4" x14ac:dyDescent="0.3">
      <c r="B19" s="155" t="s">
        <v>193</v>
      </c>
      <c r="C19" s="66" t="s">
        <v>175</v>
      </c>
      <c r="D19" s="179" t="s">
        <v>194</v>
      </c>
      <c r="E19" s="179" t="s">
        <v>195</v>
      </c>
      <c r="F19" s="169" t="s">
        <v>196</v>
      </c>
    </row>
    <row r="20" spans="2:6" ht="14.4" x14ac:dyDescent="0.3">
      <c r="B20" s="170" t="s">
        <v>175</v>
      </c>
      <c r="C20" s="164" t="s">
        <v>175</v>
      </c>
      <c r="D20" s="164" t="s">
        <v>175</v>
      </c>
      <c r="E20" s="164" t="s">
        <v>175</v>
      </c>
      <c r="F20" s="171" t="s">
        <v>175</v>
      </c>
    </row>
    <row r="21" spans="2:6" ht="14.4" x14ac:dyDescent="0.3">
      <c r="B21" s="170" t="s">
        <v>197</v>
      </c>
      <c r="C21" s="172"/>
      <c r="D21" s="173">
        <v>0.12659999999999999</v>
      </c>
      <c r="E21" s="164">
        <v>3.4099999999999998E-2</v>
      </c>
      <c r="F21" s="171">
        <v>3.9706999999999999</v>
      </c>
    </row>
    <row r="22" spans="2:6" ht="14.4" x14ac:dyDescent="0.3">
      <c r="B22" s="170" t="s">
        <v>175</v>
      </c>
      <c r="C22" s="164" t="s">
        <v>175</v>
      </c>
      <c r="D22" s="164" t="s">
        <v>175</v>
      </c>
      <c r="E22" s="164" t="s">
        <v>175</v>
      </c>
      <c r="F22" s="171" t="s">
        <v>175</v>
      </c>
    </row>
    <row r="23" spans="2:6" ht="14.4" x14ac:dyDescent="0.3">
      <c r="B23" s="174" t="s">
        <v>198</v>
      </c>
      <c r="C23" s="175"/>
      <c r="D23" s="176">
        <v>9.7699999999999995E-2</v>
      </c>
      <c r="E23" s="177">
        <v>3.09E-2</v>
      </c>
      <c r="F23" s="178">
        <v>3.5994000000000002</v>
      </c>
    </row>
  </sheetData>
  <mergeCells count="2">
    <mergeCell ref="B2:F2"/>
    <mergeCell ref="B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ENEL</vt:lpstr>
      <vt:lpstr>IBERDROLA</vt:lpstr>
      <vt:lpstr>Balance sheet</vt:lpstr>
      <vt:lpstr>Income statment</vt:lpstr>
      <vt:lpstr>CF</vt:lpstr>
      <vt:lpstr>Ratio</vt:lpstr>
      <vt:lpstr>DuPont analysis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Claudia Cristofolini</cp:lastModifiedBy>
  <cp:revision/>
  <dcterms:created xsi:type="dcterms:W3CDTF">2025-11-05T22:39:46Z</dcterms:created>
  <dcterms:modified xsi:type="dcterms:W3CDTF">2025-12-01T09:19:59Z</dcterms:modified>
  <cp:category/>
  <cp:contentStatus/>
</cp:coreProperties>
</file>